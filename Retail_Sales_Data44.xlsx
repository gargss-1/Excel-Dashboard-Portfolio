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esktop\MB257344 excel\"/>
    </mc:Choice>
  </mc:AlternateContent>
  <xr:revisionPtr revIDLastSave="0" documentId="13_ncr:1_{C7B4663A-3EC9-4869-9EC2-A3C080F083DF}" xr6:coauthVersionLast="47" xr6:coauthVersionMax="47" xr10:uidLastSave="{00000000-0000-0000-0000-000000000000}"/>
  <bookViews>
    <workbookView xWindow="-120" yWindow="-120" windowWidth="24240" windowHeight="13140" activeTab="1" xr2:uid="{00000000-000D-0000-FFFF-FFFF00000000}"/>
  </bookViews>
  <sheets>
    <sheet name="sales_data" sheetId="1" r:id="rId1"/>
    <sheet name="dashboard" sheetId="2" r:id="rId2"/>
  </sheets>
  <definedNames>
    <definedName name="_xlcn.WorksheetConnection_Retail_Sales_Data44.xlsxSalesTable" hidden="1">SalesTable[]</definedName>
    <definedName name="Slicer_Brand">#N/A</definedName>
    <definedName name="Slicer_Payment_Method">#N/A</definedName>
    <definedName name="Slicer_Region">#N/A</definedName>
    <definedName name="Timeline_Order_Date">#N/A</definedName>
  </definedNames>
  <calcPr calcId="0"/>
  <pivotCaches>
    <pivotCache cacheId="0" r:id="rId3"/>
    <pivotCache cacheId="1" r:id="rId4"/>
    <pivotCache cacheId="2" r:id="rId5"/>
    <pivotCache cacheId="3" r:id="rId6"/>
  </pivotCaches>
  <extLst>
    <ext xmlns:x14="http://schemas.microsoft.com/office/spreadsheetml/2009/9/main" uri="{876F7934-8845-4945-9796-88D515C7AA90}">
      <x14:pivotCaches>
        <pivotCache cacheId="4" r:id="rId7"/>
      </x14:pivotCaches>
    </ex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 r:id="rId11"/>
      </x15:timelineCachePivotCaches>
    </ext>
    <ext xmlns:x15="http://schemas.microsoft.com/office/spreadsheetml/2010/11/main" uri="{D0CA8CA8-9F24-4464-BF8E-62219DCF47F9}">
      <x15:timelineCacheRefs>
        <x15:timelineCacheRef r:id="rId12"/>
      </x15:timelineCacheRefs>
    </ext>
    <ext xmlns:x15="http://schemas.microsoft.com/office/spreadsheetml/2010/11/main" uri="{FCE2AD5D-F65C-4FA6-A056-5C36A1767C68}">
      <x15:dataModel>
        <x15:modelTables>
          <x15:modelTable id="SalesTable" name="SalesTable" connection="WorksheetConnection_Retail_Sales_Data44.xlsx!SalesTable"/>
        </x15:modelTables>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0B8BC0-2DCA-4431-9307-C0FCC8D9367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BE3D7CC-DE34-4DD8-8F16-32686559730B}" name="WorksheetConnection_Retail_Sales_Data44.xlsx!SalesTable" type="102" refreshedVersion="7" minRefreshableVersion="5">
    <extLst>
      <ext xmlns:x15="http://schemas.microsoft.com/office/spreadsheetml/2010/11/main" uri="{DE250136-89BD-433C-8126-D09CA5730AF9}">
        <x15:connection id="SalesTable" autoDelete="1">
          <x15:rangePr sourceName="_xlcn.WorksheetConnection_Retail_Sales_Data44.xlsxSalesTable"/>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alesTable].[Brand].[All]}"/>
  </metadataStrings>
  <mdxMetadata count="1">
    <mdx n="0" f="s">
      <ms ns="1" c="0"/>
    </mdx>
  </mdxMetadata>
  <valueMetadata count="1">
    <bk>
      <rc t="1" v="0"/>
    </bk>
  </valueMetadata>
</metadata>
</file>

<file path=xl/sharedStrings.xml><?xml version="1.0" encoding="utf-8"?>
<sst xmlns="http://schemas.openxmlformats.org/spreadsheetml/2006/main" count="1769" uniqueCount="461">
  <si>
    <t>Customer_Name</t>
  </si>
  <si>
    <t>Customer_City</t>
  </si>
  <si>
    <t>Customer_State</t>
  </si>
  <si>
    <t>Customer_Segment</t>
  </si>
  <si>
    <t>Order_ID</t>
  </si>
  <si>
    <t>Order_Date</t>
  </si>
  <si>
    <t>Product_ID</t>
  </si>
  <si>
    <t>Product_Name</t>
  </si>
  <si>
    <t>Product_Category</t>
  </si>
  <si>
    <t>Brand</t>
  </si>
  <si>
    <t>Quantity</t>
  </si>
  <si>
    <t>Unit_Price</t>
  </si>
  <si>
    <t>Discount_Percentage</t>
  </si>
  <si>
    <t>Sales_Amount</t>
  </si>
  <si>
    <t>Cost_Amount</t>
  </si>
  <si>
    <t>Profit</t>
  </si>
  <si>
    <t>Payment_Method</t>
  </si>
  <si>
    <t>Salesperson_ID</t>
  </si>
  <si>
    <t>Salesperson_Name</t>
  </si>
  <si>
    <t>Region</t>
  </si>
  <si>
    <t>Store_Name</t>
  </si>
  <si>
    <t>Delivery_Status</t>
  </si>
  <si>
    <t>Return_Status</t>
  </si>
  <si>
    <t>C0001</t>
  </si>
  <si>
    <t>Nandini Jain</t>
  </si>
  <si>
    <t>Pune</t>
  </si>
  <si>
    <t>Maharashtra</t>
  </si>
  <si>
    <t>Home Office</t>
  </si>
  <si>
    <t>O00001</t>
  </si>
  <si>
    <t>P021</t>
  </si>
  <si>
    <t>Mixer Grinder</t>
  </si>
  <si>
    <t>Home Appliances</t>
  </si>
  <si>
    <t>Boat</t>
  </si>
  <si>
    <t>Credit Card</t>
  </si>
  <si>
    <t>S002</t>
  </si>
  <si>
    <t>B Singh</t>
  </si>
  <si>
    <t>West</t>
  </si>
  <si>
    <t>Pune Store</t>
  </si>
  <si>
    <t>Delivered</t>
  </si>
  <si>
    <t>Not Returned</t>
  </si>
  <si>
    <t>C0002</t>
  </si>
  <si>
    <t>Shreya Bose</t>
  </si>
  <si>
    <t>Mumbai</t>
  </si>
  <si>
    <t>O00002</t>
  </si>
  <si>
    <t>P002</t>
  </si>
  <si>
    <t>Laptop</t>
  </si>
  <si>
    <t>Electronics</t>
  </si>
  <si>
    <t>Philips</t>
  </si>
  <si>
    <t>S003</t>
  </si>
  <si>
    <t>C Patel</t>
  </si>
  <si>
    <t>Mumbai Store</t>
  </si>
  <si>
    <t>Returned</t>
  </si>
  <si>
    <t>C0003</t>
  </si>
  <si>
    <t>Anil Gupta</t>
  </si>
  <si>
    <t>Jaipur</t>
  </si>
  <si>
    <t>Rajasthan</t>
  </si>
  <si>
    <t>Consumer</t>
  </si>
  <si>
    <t>O00003</t>
  </si>
  <si>
    <t>P007</t>
  </si>
  <si>
    <t>Sofa</t>
  </si>
  <si>
    <t>Furniture</t>
  </si>
  <si>
    <t>HP</t>
  </si>
  <si>
    <t>Cash</t>
  </si>
  <si>
    <t>S004</t>
  </si>
  <si>
    <t>D Rao</t>
  </si>
  <si>
    <t>North</t>
  </si>
  <si>
    <t>Jaipur Store</t>
  </si>
  <si>
    <t>Cancelled</t>
  </si>
  <si>
    <t>C0004</t>
  </si>
  <si>
    <t>Arpita Das</t>
  </si>
  <si>
    <t>Ahmedabad</t>
  </si>
  <si>
    <t>Gujarat</t>
  </si>
  <si>
    <t>O00004</t>
  </si>
  <si>
    <t>P006</t>
  </si>
  <si>
    <t>Study Table</t>
  </si>
  <si>
    <t>LG</t>
  </si>
  <si>
    <t>UPI</t>
  </si>
  <si>
    <t>S005</t>
  </si>
  <si>
    <t>E Nair</t>
  </si>
  <si>
    <t>Ahmedabad Store</t>
  </si>
  <si>
    <t>In Transit</t>
  </si>
  <si>
    <t>C0005</t>
  </si>
  <si>
    <t>Darshan Gowda</t>
  </si>
  <si>
    <t>O00005</t>
  </si>
  <si>
    <t>P015</t>
  </si>
  <si>
    <t>Tea Pack</t>
  </si>
  <si>
    <t>Grocery</t>
  </si>
  <si>
    <t>Nilkamal</t>
  </si>
  <si>
    <t>Net Banking</t>
  </si>
  <si>
    <t>S006</t>
  </si>
  <si>
    <t>F Das</t>
  </si>
  <si>
    <t>Pending</t>
  </si>
  <si>
    <t>C0006</t>
  </si>
  <si>
    <t>Priya Rao</t>
  </si>
  <si>
    <t>Corporate</t>
  </si>
  <si>
    <t>O00006</t>
  </si>
  <si>
    <t>P018</t>
  </si>
  <si>
    <t>Football</t>
  </si>
  <si>
    <t>Sports</t>
  </si>
  <si>
    <t>Prestige</t>
  </si>
  <si>
    <t>S007</t>
  </si>
  <si>
    <t>G Iyer</t>
  </si>
  <si>
    <t>C0007</t>
  </si>
  <si>
    <t>Gopal Kulkarni</t>
  </si>
  <si>
    <t>Bengaluru</t>
  </si>
  <si>
    <t>Karnataka</t>
  </si>
  <si>
    <t>O00007</t>
  </si>
  <si>
    <t>P010</t>
  </si>
  <si>
    <t>Jeans</t>
  </si>
  <si>
    <t>Clothing</t>
  </si>
  <si>
    <t>Debit Card</t>
  </si>
  <si>
    <t>S008</t>
  </si>
  <si>
    <t>H Shah</t>
  </si>
  <si>
    <t>South</t>
  </si>
  <si>
    <t>Bengaluru Store</t>
  </si>
  <si>
    <t>C0008</t>
  </si>
  <si>
    <t>Kabir Ali</t>
  </si>
  <si>
    <t>O00008</t>
  </si>
  <si>
    <t>P017</t>
  </si>
  <si>
    <t>Cricket Bat</t>
  </si>
  <si>
    <t>Nike</t>
  </si>
  <si>
    <t>S009</t>
  </si>
  <si>
    <t>I Ali</t>
  </si>
  <si>
    <t>C0009</t>
  </si>
  <si>
    <t>Ojas Verma</t>
  </si>
  <si>
    <t>O00009</t>
  </si>
  <si>
    <t>P019</t>
  </si>
  <si>
    <t>Yoga Mat</t>
  </si>
  <si>
    <t>S010</t>
  </si>
  <si>
    <t>J Mehta</t>
  </si>
  <si>
    <t>C0010</t>
  </si>
  <si>
    <t>Vikas Iyer</t>
  </si>
  <si>
    <t>O00010</t>
  </si>
  <si>
    <t>P008</t>
  </si>
  <si>
    <t>Bookshelf</t>
  </si>
  <si>
    <t>Adidas</t>
  </si>
  <si>
    <t>S001</t>
  </si>
  <si>
    <t>A Kumar</t>
  </si>
  <si>
    <t>C0011</t>
  </si>
  <si>
    <t>Farhan Gupta</t>
  </si>
  <si>
    <t>O00011</t>
  </si>
  <si>
    <t>C0012</t>
  </si>
  <si>
    <t>Aditi Gupta</t>
  </si>
  <si>
    <t>O00012</t>
  </si>
  <si>
    <t>C0013</t>
  </si>
  <si>
    <t>Jaya Rao</t>
  </si>
  <si>
    <t>O00013</t>
  </si>
  <si>
    <t>C0014</t>
  </si>
  <si>
    <t>Hemant Das</t>
  </si>
  <si>
    <t>Delhi</t>
  </si>
  <si>
    <t>O00014</t>
  </si>
  <si>
    <t>Delhi Store</t>
  </si>
  <si>
    <t>C0015</t>
  </si>
  <si>
    <t>Sneha Yadav</t>
  </si>
  <si>
    <t>O00015</t>
  </si>
  <si>
    <t>P009</t>
  </si>
  <si>
    <t>T-Shirt</t>
  </si>
  <si>
    <t>C0016</t>
  </si>
  <si>
    <t>Rohan Bose</t>
  </si>
  <si>
    <t>Hyderabad</t>
  </si>
  <si>
    <t>Telangana</t>
  </si>
  <si>
    <t>O00016</t>
  </si>
  <si>
    <t>Hyderabad Store</t>
  </si>
  <si>
    <t>C0017</t>
  </si>
  <si>
    <t>Palak Ali</t>
  </si>
  <si>
    <t>Chennai</t>
  </si>
  <si>
    <t>Tamil Nadu</t>
  </si>
  <si>
    <t>O00017</t>
  </si>
  <si>
    <t>Chennai Store</t>
  </si>
  <si>
    <t>C0018</t>
  </si>
  <si>
    <t>Pranav Mehta</t>
  </si>
  <si>
    <t>O00018</t>
  </si>
  <si>
    <t>P011</t>
  </si>
  <si>
    <t>Jacket</t>
  </si>
  <si>
    <t>C0019</t>
  </si>
  <si>
    <t>Varun Rao</t>
  </si>
  <si>
    <t>O00019</t>
  </si>
  <si>
    <t>C0020</t>
  </si>
  <si>
    <t>Tejas Iyer</t>
  </si>
  <si>
    <t>O00020</t>
  </si>
  <si>
    <t>C0021</t>
  </si>
  <si>
    <t>Pooja Mehta</t>
  </si>
  <si>
    <t>O00021</t>
  </si>
  <si>
    <t>P016</t>
  </si>
  <si>
    <t>Dry Fruits</t>
  </si>
  <si>
    <t>C0022</t>
  </si>
  <si>
    <t>Reyansh Jain</t>
  </si>
  <si>
    <t>Lucknow</t>
  </si>
  <si>
    <t>Uttar Pradesh</t>
  </si>
  <si>
    <t>O00022</t>
  </si>
  <si>
    <t>Lucknow Store</t>
  </si>
  <si>
    <t>C0023</t>
  </si>
  <si>
    <t>Aditi Verma</t>
  </si>
  <si>
    <t>O00023</t>
  </si>
  <si>
    <t>C0024</t>
  </si>
  <si>
    <t>Zoya Reddy</t>
  </si>
  <si>
    <t>Kolkata</t>
  </si>
  <si>
    <t>West Bengal</t>
  </si>
  <si>
    <t>O00024</t>
  </si>
  <si>
    <t>P004</t>
  </si>
  <si>
    <t>Tablet</t>
  </si>
  <si>
    <t>East</t>
  </si>
  <si>
    <t>Kolkata Store</t>
  </si>
  <si>
    <t>C0025</t>
  </si>
  <si>
    <t>Arpita Kulkarni</t>
  </si>
  <si>
    <t>O00025</t>
  </si>
  <si>
    <t>C0026</t>
  </si>
  <si>
    <t>Anup Sharma</t>
  </si>
  <si>
    <t>O00026</t>
  </si>
  <si>
    <t>P022</t>
  </si>
  <si>
    <t>Microwave</t>
  </si>
  <si>
    <t>C0027</t>
  </si>
  <si>
    <t>Bhavna Bose</t>
  </si>
  <si>
    <t>O00027</t>
  </si>
  <si>
    <t>C0028</t>
  </si>
  <si>
    <t>Neha Kulkarni</t>
  </si>
  <si>
    <t>O00028</t>
  </si>
  <si>
    <t>C0029</t>
  </si>
  <si>
    <t>Mitali Nair</t>
  </si>
  <si>
    <t>O00029</t>
  </si>
  <si>
    <t>P013</t>
  </si>
  <si>
    <t>Rice Bag</t>
  </si>
  <si>
    <t>Tata</t>
  </si>
  <si>
    <t>C0030</t>
  </si>
  <si>
    <t>Suhani Rao</t>
  </si>
  <si>
    <t>O00030</t>
  </si>
  <si>
    <t>P014</t>
  </si>
  <si>
    <t>Olive Oil</t>
  </si>
  <si>
    <t>Puma</t>
  </si>
  <si>
    <t>C0031</t>
  </si>
  <si>
    <t>Chetan Iyer</t>
  </si>
  <si>
    <t>O00031</t>
  </si>
  <si>
    <t>C0032</t>
  </si>
  <si>
    <t>Manish Ali</t>
  </si>
  <si>
    <t>O00032</t>
  </si>
  <si>
    <t>C0033</t>
  </si>
  <si>
    <t>Mitali Joshi</t>
  </si>
  <si>
    <t>O00033</t>
  </si>
  <si>
    <t>C0034</t>
  </si>
  <si>
    <t>Jaya Joshi</t>
  </si>
  <si>
    <t>O00034</t>
  </si>
  <si>
    <t>P020</t>
  </si>
  <si>
    <t>Dumbbells</t>
  </si>
  <si>
    <t>C0035</t>
  </si>
  <si>
    <t>Ritika Verma</t>
  </si>
  <si>
    <t>O00035</t>
  </si>
  <si>
    <t>C0036</t>
  </si>
  <si>
    <t>Bhavesh Nair</t>
  </si>
  <si>
    <t>O00036</t>
  </si>
  <si>
    <t>C0037</t>
  </si>
  <si>
    <t>Dev Rao</t>
  </si>
  <si>
    <t>O00037</t>
  </si>
  <si>
    <t>C0038</t>
  </si>
  <si>
    <t>Ravina Verma</t>
  </si>
  <si>
    <t>O00038</t>
  </si>
  <si>
    <t>C0039</t>
  </si>
  <si>
    <t>Nisha Das</t>
  </si>
  <si>
    <t>O00039</t>
  </si>
  <si>
    <t>C0040</t>
  </si>
  <si>
    <t>Saloni Khan</t>
  </si>
  <si>
    <t>O00040</t>
  </si>
  <si>
    <t>C0041</t>
  </si>
  <si>
    <t>Naveena Shetty</t>
  </si>
  <si>
    <t>O00041</t>
  </si>
  <si>
    <t>C0042</t>
  </si>
  <si>
    <t>Varun Singh</t>
  </si>
  <si>
    <t>O00042</t>
  </si>
  <si>
    <t>C0043</t>
  </si>
  <si>
    <t>Ramesh Ali</t>
  </si>
  <si>
    <t>O00043</t>
  </si>
  <si>
    <t>P023</t>
  </si>
  <si>
    <t>Air Purifier</t>
  </si>
  <si>
    <t>C0044</t>
  </si>
  <si>
    <t>Saanvi Reddy</t>
  </si>
  <si>
    <t>O00044</t>
  </si>
  <si>
    <t>C0045</t>
  </si>
  <si>
    <t>Ananya Patel</t>
  </si>
  <si>
    <t>O00045</t>
  </si>
  <si>
    <t>C0046</t>
  </si>
  <si>
    <t>Anil Khan</t>
  </si>
  <si>
    <t>O00046</t>
  </si>
  <si>
    <t>C0047</t>
  </si>
  <si>
    <t>Noor Patel</t>
  </si>
  <si>
    <t>O00047</t>
  </si>
  <si>
    <t>C0048</t>
  </si>
  <si>
    <t>Anil Yadav</t>
  </si>
  <si>
    <t>O00048</t>
  </si>
  <si>
    <t>C0049</t>
  </si>
  <si>
    <t>Bhavna Nair</t>
  </si>
  <si>
    <t>O00049</t>
  </si>
  <si>
    <t>P024</t>
  </si>
  <si>
    <t>Ceiling Fan</t>
  </si>
  <si>
    <t>C0050</t>
  </si>
  <si>
    <t>Rituja Mehta</t>
  </si>
  <si>
    <t>O00050</t>
  </si>
  <si>
    <t>C0051</t>
  </si>
  <si>
    <t>Tanvi Singh</t>
  </si>
  <si>
    <t>O00051</t>
  </si>
  <si>
    <t>C0052</t>
  </si>
  <si>
    <t>Faizan Yadav</t>
  </si>
  <si>
    <t>O00052</t>
  </si>
  <si>
    <t>C0053</t>
  </si>
  <si>
    <t>Harsh Sharma</t>
  </si>
  <si>
    <t>O00053</t>
  </si>
  <si>
    <t>C0054</t>
  </si>
  <si>
    <t>Shreya Reddy</t>
  </si>
  <si>
    <t>O00054</t>
  </si>
  <si>
    <t>C0055</t>
  </si>
  <si>
    <t>Qamar Das</t>
  </si>
  <si>
    <t>O00055</t>
  </si>
  <si>
    <t>C0056</t>
  </si>
  <si>
    <t>Vihaan Singh</t>
  </si>
  <si>
    <t>O00056</t>
  </si>
  <si>
    <t>C0057</t>
  </si>
  <si>
    <t>Gargi Reddy</t>
  </si>
  <si>
    <t>O00057</t>
  </si>
  <si>
    <t>C0058</t>
  </si>
  <si>
    <t>Gargi Gowda</t>
  </si>
  <si>
    <t>O00058</t>
  </si>
  <si>
    <t>P005</t>
  </si>
  <si>
    <t>Office Chair</t>
  </si>
  <si>
    <t>C0059</t>
  </si>
  <si>
    <t>Nitin Joshi</t>
  </si>
  <si>
    <t>O00059</t>
  </si>
  <si>
    <t>P001</t>
  </si>
  <si>
    <t>Bluetooth Speaker</t>
  </si>
  <si>
    <t>C0060</t>
  </si>
  <si>
    <t>Ananya Bose</t>
  </si>
  <si>
    <t>O00060</t>
  </si>
  <si>
    <t>C0061</t>
  </si>
  <si>
    <t>Nitin Gowda</t>
  </si>
  <si>
    <t>O00061</t>
  </si>
  <si>
    <t>C0062</t>
  </si>
  <si>
    <t>Reyansh Iyer</t>
  </si>
  <si>
    <t>O00062</t>
  </si>
  <si>
    <t>C0063</t>
  </si>
  <si>
    <t>Keerthi Ali</t>
  </si>
  <si>
    <t>O00063</t>
  </si>
  <si>
    <t>C0064</t>
  </si>
  <si>
    <t>Saanvi Gupta</t>
  </si>
  <si>
    <t>O00064</t>
  </si>
  <si>
    <t>C0065</t>
  </si>
  <si>
    <t>Anup Kulkarni</t>
  </si>
  <si>
    <t>O00065</t>
  </si>
  <si>
    <t>C0066</t>
  </si>
  <si>
    <t>Neha Reddy</t>
  </si>
  <si>
    <t>O00066</t>
  </si>
  <si>
    <t>C0067</t>
  </si>
  <si>
    <t>Deepak Gupta</t>
  </si>
  <si>
    <t>O00067</t>
  </si>
  <si>
    <t>C0068</t>
  </si>
  <si>
    <t>Rohan Mehta</t>
  </si>
  <si>
    <t>O00068</t>
  </si>
  <si>
    <t>C0069</t>
  </si>
  <si>
    <t>Arjun Yadav</t>
  </si>
  <si>
    <t>O00069</t>
  </si>
  <si>
    <t>C0070</t>
  </si>
  <si>
    <t>Harsh Bose</t>
  </si>
  <si>
    <t>O00070</t>
  </si>
  <si>
    <t>C0071</t>
  </si>
  <si>
    <t>Gopal Verma</t>
  </si>
  <si>
    <t>O00071</t>
  </si>
  <si>
    <t>C0072</t>
  </si>
  <si>
    <t>Komal Bose</t>
  </si>
  <si>
    <t>O00072</t>
  </si>
  <si>
    <t>C0073</t>
  </si>
  <si>
    <t>Nikhil Reddy</t>
  </si>
  <si>
    <t>O00073</t>
  </si>
  <si>
    <t>C0074</t>
  </si>
  <si>
    <t>Palak Yadav</t>
  </si>
  <si>
    <t>O00074</t>
  </si>
  <si>
    <t>C0075</t>
  </si>
  <si>
    <t>Chirag Kulkarni</t>
  </si>
  <si>
    <t>O00075</t>
  </si>
  <si>
    <t>C0076</t>
  </si>
  <si>
    <t>Ritika Shetty</t>
  </si>
  <si>
    <t>O00076</t>
  </si>
  <si>
    <t>C0077</t>
  </si>
  <si>
    <t>Kavya Das</t>
  </si>
  <si>
    <t>O00077</t>
  </si>
  <si>
    <t>C0078</t>
  </si>
  <si>
    <t>Farhan Ali</t>
  </si>
  <si>
    <t>O00078</t>
  </si>
  <si>
    <t>C0079</t>
  </si>
  <si>
    <t>Kunal Shetty</t>
  </si>
  <si>
    <t>O00079</t>
  </si>
  <si>
    <t>C0080</t>
  </si>
  <si>
    <t>Qamar Bose</t>
  </si>
  <si>
    <t>O00080</t>
  </si>
  <si>
    <t>C0081</t>
  </si>
  <si>
    <t>Jaya Singh</t>
  </si>
  <si>
    <t>O00081</t>
  </si>
  <si>
    <t>C0082</t>
  </si>
  <si>
    <t>Bhavna Gupta</t>
  </si>
  <si>
    <t>O00082</t>
  </si>
  <si>
    <t>C0083</t>
  </si>
  <si>
    <t>Anil Gowda</t>
  </si>
  <si>
    <t>O00083</t>
  </si>
  <si>
    <t>C0084</t>
  </si>
  <si>
    <t>Anika Singh</t>
  </si>
  <si>
    <t>O00084</t>
  </si>
  <si>
    <t>C0085</t>
  </si>
  <si>
    <t>Vikas Singh</t>
  </si>
  <si>
    <t>O00085</t>
  </si>
  <si>
    <t>P012</t>
  </si>
  <si>
    <t>Kurta</t>
  </si>
  <si>
    <t>C0086</t>
  </si>
  <si>
    <t>Nisha Patel</t>
  </si>
  <si>
    <t>O00086</t>
  </si>
  <si>
    <t>C0087</t>
  </si>
  <si>
    <t>Rohan Ali</t>
  </si>
  <si>
    <t>O00087</t>
  </si>
  <si>
    <t>C0088</t>
  </si>
  <si>
    <t>Ojas Iyer</t>
  </si>
  <si>
    <t>O00088</t>
  </si>
  <si>
    <t>C0089</t>
  </si>
  <si>
    <t>Qamar Reddy</t>
  </si>
  <si>
    <t>O00089</t>
  </si>
  <si>
    <t>C0090</t>
  </si>
  <si>
    <t>Sunita Patel</t>
  </si>
  <si>
    <t>O00090</t>
  </si>
  <si>
    <t>C0091</t>
  </si>
  <si>
    <t>Seema Bose</t>
  </si>
  <si>
    <t>O00091</t>
  </si>
  <si>
    <t>C0092</t>
  </si>
  <si>
    <t>Chetan Ali</t>
  </si>
  <si>
    <t>O00092</t>
  </si>
  <si>
    <t>C0093</t>
  </si>
  <si>
    <t>Falguni Reddy</t>
  </si>
  <si>
    <t>O00093</t>
  </si>
  <si>
    <t>C0094</t>
  </si>
  <si>
    <t>Anup Das</t>
  </si>
  <si>
    <t>O00094</t>
  </si>
  <si>
    <t>C0095</t>
  </si>
  <si>
    <t>Bhavesh Singh</t>
  </si>
  <si>
    <t>O00095</t>
  </si>
  <si>
    <t>C0096</t>
  </si>
  <si>
    <t>Meera Ali</t>
  </si>
  <si>
    <t>O00096</t>
  </si>
  <si>
    <t>C0097</t>
  </si>
  <si>
    <t>Madhav Bose</t>
  </si>
  <si>
    <t>O00097</t>
  </si>
  <si>
    <t>P003</t>
  </si>
  <si>
    <t>Smartphone</t>
  </si>
  <si>
    <t>C0098</t>
  </si>
  <si>
    <t>Bhavna Singh</t>
  </si>
  <si>
    <t>O00098</t>
  </si>
  <si>
    <t>C0099</t>
  </si>
  <si>
    <t>Ananya Kulkarni</t>
  </si>
  <si>
    <t>O00099</t>
  </si>
  <si>
    <t>C0100</t>
  </si>
  <si>
    <t>Sakshi Iyer</t>
  </si>
  <si>
    <t>O00100</t>
  </si>
  <si>
    <t>Column1</t>
  </si>
  <si>
    <t>Sum of Sales_Amount</t>
  </si>
  <si>
    <t>All</t>
  </si>
  <si>
    <t>Row Labels</t>
  </si>
  <si>
    <t>Grand Total</t>
  </si>
  <si>
    <t>Sum of Profit</t>
  </si>
  <si>
    <t>Sum of Quantity</t>
  </si>
  <si>
    <t>Sum of Discount_Percentage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</si>
</sst>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powerPivotData" Target="model/item.data"/><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microsoft.com/office/2011/relationships/timelineCache" Target="timelineCaches/timeline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6.xml"/><Relationship Id="rId5" Type="http://schemas.openxmlformats.org/officeDocument/2006/relationships/pivotCacheDefinition" Target="pivotCache/pivotCacheDefinition3.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pivotCacheDefinition" Target="pivotCache/pivotCacheDefinition2.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[Retail_Sales_Data44.xlsx]dashboard!segment_details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State</a:t>
            </a:r>
            <a:r>
              <a:rPr lang="en-IN" baseline="0"/>
              <a:t> Details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dashboard!$B$30</c:f>
              <c:strCache>
                <c:ptCount val="1"/>
                <c:pt idx="0">
                  <c:v>Sum of Profit</c:v>
                </c:pt>
              </c:strCache>
            </c:strRef>
          </c:tx>
          <c:spPr>
            <a:solidFill>
              <a:schemeClr val="accent1"/>
            </a:solidFill>
            <a:ln>
              <a:noFill/>
            </a:ln>
            <a:effectLst/>
          </c:spPr>
          <c:invertIfNegative val="0"/>
          <c:dPt>
            <c:idx val="0"/>
            <c:invertIfNegative val="0"/>
            <c:bubble3D val="0"/>
          </c:dPt>
          <c:dPt>
            <c:idx val="1"/>
            <c:invertIfNegative val="0"/>
            <c:bubble3D val="0"/>
          </c:dPt>
          <c:cat>
            <c:strRef>
              <c:f>dashboard!$A$31:$A$34</c:f>
              <c:strCache>
                <c:ptCount val="3"/>
                <c:pt idx="0">
                  <c:v>Consumer</c:v>
                </c:pt>
                <c:pt idx="1">
                  <c:v>Corporate</c:v>
                </c:pt>
                <c:pt idx="2">
                  <c:v>Home Office</c:v>
                </c:pt>
              </c:strCache>
            </c:strRef>
          </c:cat>
          <c:val>
            <c:numRef>
              <c:f>dashboard!$B$31:$B$34</c:f>
              <c:numCache>
                <c:formatCode>General</c:formatCode>
                <c:ptCount val="3"/>
                <c:pt idx="0">
                  <c:v>3173635.24</c:v>
                </c:pt>
                <c:pt idx="1">
                  <c:v>2118280.87</c:v>
                </c:pt>
                <c:pt idx="2">
                  <c:v>2487457.9900000002</c:v>
                </c:pt>
              </c:numCache>
            </c:numRef>
          </c:val>
          <c:extLst>
            <c:ext xmlns:c16="http://schemas.microsoft.com/office/drawing/2014/chart" uri="{C3380CC4-5D6E-409C-BE32-E72D297353CC}">
              <c16:uniqueId val="{00000003-6373-45F5-8975-F9BD96BC1445}"/>
            </c:ext>
          </c:extLst>
        </c:ser>
        <c:ser>
          <c:idx val="1"/>
          <c:order val="1"/>
          <c:tx>
            <c:strRef>
              <c:f>dashboard!$C$30</c:f>
              <c:strCache>
                <c:ptCount val="1"/>
                <c:pt idx="0">
                  <c:v>Sum of Sales_Amount</c:v>
                </c:pt>
              </c:strCache>
            </c:strRef>
          </c:tx>
          <c:spPr>
            <a:solidFill>
              <a:schemeClr val="accent2"/>
            </a:solidFill>
            <a:ln>
              <a:noFill/>
            </a:ln>
            <a:effectLst/>
          </c:spPr>
          <c:invertIfNegative val="0"/>
          <c:cat>
            <c:strRef>
              <c:f>dashboard!$A$31:$A$34</c:f>
              <c:strCache>
                <c:ptCount val="3"/>
                <c:pt idx="0">
                  <c:v>Consumer</c:v>
                </c:pt>
                <c:pt idx="1">
                  <c:v>Corporate</c:v>
                </c:pt>
                <c:pt idx="2">
                  <c:v>Home Office</c:v>
                </c:pt>
              </c:strCache>
            </c:strRef>
          </c:cat>
          <c:val>
            <c:numRef>
              <c:f>dashboard!$C$31:$C$34</c:f>
              <c:numCache>
                <c:formatCode>General</c:formatCode>
                <c:ptCount val="3"/>
                <c:pt idx="0">
                  <c:v>8962570.9000000004</c:v>
                </c:pt>
                <c:pt idx="1">
                  <c:v>6424555.2000000002</c:v>
                </c:pt>
                <c:pt idx="2">
                  <c:v>7595372.7599999998</c:v>
                </c:pt>
              </c:numCache>
            </c:numRef>
          </c:val>
          <c:extLst>
            <c:ext xmlns:c16="http://schemas.microsoft.com/office/drawing/2014/chart" uri="{C3380CC4-5D6E-409C-BE32-E72D297353CC}">
              <c16:uniqueId val="{00000004-6373-45F5-8975-F9BD96BC1445}"/>
            </c:ext>
          </c:extLst>
        </c:ser>
        <c:dLbls>
          <c:showLegendKey val="0"/>
          <c:showVal val="0"/>
          <c:showCatName val="0"/>
          <c:showSerName val="0"/>
          <c:showPercent val="0"/>
          <c:showBubbleSize val="0"/>
        </c:dLbls>
        <c:gapWidth val="219"/>
        <c:overlap val="-27"/>
        <c:axId val="481543776"/>
        <c:axId val="481540864"/>
      </c:barChart>
      <c:catAx>
        <c:axId val="48154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540864"/>
        <c:crosses val="autoZero"/>
        <c:auto val="1"/>
        <c:lblAlgn val="ctr"/>
        <c:lblOffset val="100"/>
        <c:noMultiLvlLbl val="0"/>
      </c:catAx>
      <c:valAx>
        <c:axId val="48154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54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[Retail_Sales_Data44.xlsx]dashboard!product_category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dashboard!$B$43</c:f>
              <c:strCache>
                <c:ptCount val="1"/>
                <c:pt idx="0">
                  <c:v>Sum of Quantity</c:v>
                </c:pt>
              </c:strCache>
            </c:strRef>
          </c:tx>
          <c:spPr>
            <a:solidFill>
              <a:schemeClr val="accent1"/>
            </a:solidFill>
            <a:ln>
              <a:noFill/>
            </a:ln>
            <a:effectLst/>
          </c:spPr>
          <c:invertIfNegative val="0"/>
          <c:cat>
            <c:strRef>
              <c:f>dashboard!$A$44:$A$50</c:f>
              <c:strCache>
                <c:ptCount val="6"/>
                <c:pt idx="0">
                  <c:v>Clothing</c:v>
                </c:pt>
                <c:pt idx="1">
                  <c:v>Electronics</c:v>
                </c:pt>
                <c:pt idx="2">
                  <c:v>Furniture</c:v>
                </c:pt>
                <c:pt idx="3">
                  <c:v>Grocery</c:v>
                </c:pt>
                <c:pt idx="4">
                  <c:v>Home Appliances</c:v>
                </c:pt>
                <c:pt idx="5">
                  <c:v>Sports</c:v>
                </c:pt>
              </c:strCache>
            </c:strRef>
          </c:cat>
          <c:val>
            <c:numRef>
              <c:f>dashboard!$B$44:$B$50</c:f>
              <c:numCache>
                <c:formatCode>General</c:formatCode>
                <c:ptCount val="6"/>
                <c:pt idx="0">
                  <c:v>194</c:v>
                </c:pt>
                <c:pt idx="1">
                  <c:v>144</c:v>
                </c:pt>
                <c:pt idx="2">
                  <c:v>210</c:v>
                </c:pt>
                <c:pt idx="3">
                  <c:v>122</c:v>
                </c:pt>
                <c:pt idx="4">
                  <c:v>171</c:v>
                </c:pt>
                <c:pt idx="5">
                  <c:v>222</c:v>
                </c:pt>
              </c:numCache>
            </c:numRef>
          </c:val>
          <c:extLst>
            <c:ext xmlns:c16="http://schemas.microsoft.com/office/drawing/2014/chart" uri="{C3380CC4-5D6E-409C-BE32-E72D297353CC}">
              <c16:uniqueId val="{00000004-13DD-407A-9904-00CE5F8666F8}"/>
            </c:ext>
          </c:extLst>
        </c:ser>
        <c:ser>
          <c:idx val="1"/>
          <c:order val="1"/>
          <c:tx>
            <c:strRef>
              <c:f>dashboard!$C$43</c:f>
              <c:strCache>
                <c:ptCount val="1"/>
                <c:pt idx="0">
                  <c:v>Sum of Discount_Percentage</c:v>
                </c:pt>
              </c:strCache>
            </c:strRef>
          </c:tx>
          <c:spPr>
            <a:solidFill>
              <a:schemeClr val="accent2"/>
            </a:solidFill>
            <a:ln>
              <a:noFill/>
            </a:ln>
            <a:effectLst/>
          </c:spPr>
          <c:invertIfNegative val="0"/>
          <c:cat>
            <c:strRef>
              <c:f>dashboard!$A$44:$A$50</c:f>
              <c:strCache>
                <c:ptCount val="6"/>
                <c:pt idx="0">
                  <c:v>Clothing</c:v>
                </c:pt>
                <c:pt idx="1">
                  <c:v>Electronics</c:v>
                </c:pt>
                <c:pt idx="2">
                  <c:v>Furniture</c:v>
                </c:pt>
                <c:pt idx="3">
                  <c:v>Grocery</c:v>
                </c:pt>
                <c:pt idx="4">
                  <c:v>Home Appliances</c:v>
                </c:pt>
                <c:pt idx="5">
                  <c:v>Sports</c:v>
                </c:pt>
              </c:strCache>
            </c:strRef>
          </c:cat>
          <c:val>
            <c:numRef>
              <c:f>dashboard!$C$44:$C$50</c:f>
              <c:numCache>
                <c:formatCode>General</c:formatCode>
                <c:ptCount val="6"/>
                <c:pt idx="0">
                  <c:v>284</c:v>
                </c:pt>
                <c:pt idx="1">
                  <c:v>228</c:v>
                </c:pt>
                <c:pt idx="2">
                  <c:v>325</c:v>
                </c:pt>
                <c:pt idx="3">
                  <c:v>133</c:v>
                </c:pt>
                <c:pt idx="4">
                  <c:v>176</c:v>
                </c:pt>
                <c:pt idx="5">
                  <c:v>371</c:v>
                </c:pt>
              </c:numCache>
            </c:numRef>
          </c:val>
          <c:extLst>
            <c:ext xmlns:c16="http://schemas.microsoft.com/office/drawing/2014/chart" uri="{C3380CC4-5D6E-409C-BE32-E72D297353CC}">
              <c16:uniqueId val="{00000005-13DD-407A-9904-00CE5F8666F8}"/>
            </c:ext>
          </c:extLst>
        </c:ser>
        <c:ser>
          <c:idx val="2"/>
          <c:order val="2"/>
          <c:tx>
            <c:strRef>
              <c:f>dashboard!$D$43</c:f>
              <c:strCache>
                <c:ptCount val="1"/>
                <c:pt idx="0">
                  <c:v>Sum of Sales_Amount</c:v>
                </c:pt>
              </c:strCache>
            </c:strRef>
          </c:tx>
          <c:spPr>
            <a:solidFill>
              <a:schemeClr val="accent3"/>
            </a:solidFill>
            <a:ln>
              <a:noFill/>
            </a:ln>
            <a:effectLst/>
          </c:spPr>
          <c:invertIfNegative val="0"/>
          <c:cat>
            <c:strRef>
              <c:f>dashboard!$A$44:$A$50</c:f>
              <c:strCache>
                <c:ptCount val="6"/>
                <c:pt idx="0">
                  <c:v>Clothing</c:v>
                </c:pt>
                <c:pt idx="1">
                  <c:v>Electronics</c:v>
                </c:pt>
                <c:pt idx="2">
                  <c:v>Furniture</c:v>
                </c:pt>
                <c:pt idx="3">
                  <c:v>Grocery</c:v>
                </c:pt>
                <c:pt idx="4">
                  <c:v>Home Appliances</c:v>
                </c:pt>
                <c:pt idx="5">
                  <c:v>Sports</c:v>
                </c:pt>
              </c:strCache>
            </c:strRef>
          </c:cat>
          <c:val>
            <c:numRef>
              <c:f>dashboard!$D$44:$D$50</c:f>
              <c:numCache>
                <c:formatCode>General</c:formatCode>
                <c:ptCount val="6"/>
                <c:pt idx="0">
                  <c:v>3332849.42</c:v>
                </c:pt>
                <c:pt idx="1">
                  <c:v>3075423.27</c:v>
                </c:pt>
                <c:pt idx="2">
                  <c:v>4047721.18</c:v>
                </c:pt>
                <c:pt idx="3">
                  <c:v>3574555.13</c:v>
                </c:pt>
                <c:pt idx="4">
                  <c:v>4481822.5599999996</c:v>
                </c:pt>
                <c:pt idx="5">
                  <c:v>4470127.3</c:v>
                </c:pt>
              </c:numCache>
            </c:numRef>
          </c:val>
          <c:extLst>
            <c:ext xmlns:c16="http://schemas.microsoft.com/office/drawing/2014/chart" uri="{C3380CC4-5D6E-409C-BE32-E72D297353CC}">
              <c16:uniqueId val="{00000006-13DD-407A-9904-00CE5F8666F8}"/>
            </c:ext>
          </c:extLst>
        </c:ser>
        <c:dLbls>
          <c:showLegendKey val="0"/>
          <c:showVal val="0"/>
          <c:showCatName val="0"/>
          <c:showSerName val="0"/>
          <c:showPercent val="0"/>
          <c:showBubbleSize val="0"/>
        </c:dLbls>
        <c:gapWidth val="219"/>
        <c:overlap val="-27"/>
        <c:axId val="1864005424"/>
        <c:axId val="1863997936"/>
      </c:barChart>
      <c:catAx>
        <c:axId val="186400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997936"/>
        <c:crosses val="autoZero"/>
        <c:auto val="1"/>
        <c:lblAlgn val="ctr"/>
        <c:lblOffset val="100"/>
        <c:noMultiLvlLbl val="0"/>
      </c:catAx>
      <c:valAx>
        <c:axId val="1863997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00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[Retail_Sales_Data44.xlsx]dashboard!segment_details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Details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dashboard!$B$30</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5D-4CE8-A3C8-7D3E2A98E1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5D-4CE8-A3C8-7D3E2A98E1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5D-4CE8-A3C8-7D3E2A98E1C8}"/>
              </c:ext>
            </c:extLst>
          </c:dPt>
          <c:cat>
            <c:strRef>
              <c:f>dashboard!$A$31:$A$34</c:f>
              <c:strCache>
                <c:ptCount val="3"/>
                <c:pt idx="0">
                  <c:v>Consumer</c:v>
                </c:pt>
                <c:pt idx="1">
                  <c:v>Corporate</c:v>
                </c:pt>
                <c:pt idx="2">
                  <c:v>Home Office</c:v>
                </c:pt>
              </c:strCache>
            </c:strRef>
          </c:cat>
          <c:val>
            <c:numRef>
              <c:f>dashboard!$B$31:$B$34</c:f>
              <c:numCache>
                <c:formatCode>General</c:formatCode>
                <c:ptCount val="3"/>
                <c:pt idx="0">
                  <c:v>3173635.24</c:v>
                </c:pt>
                <c:pt idx="1">
                  <c:v>2118280.87</c:v>
                </c:pt>
                <c:pt idx="2">
                  <c:v>2487457.9900000002</c:v>
                </c:pt>
              </c:numCache>
            </c:numRef>
          </c:val>
          <c:extLst>
            <c:ext xmlns:c16="http://schemas.microsoft.com/office/drawing/2014/chart" uri="{C3380CC4-5D6E-409C-BE32-E72D297353CC}">
              <c16:uniqueId val="{00000003-9F92-4093-8949-E0B150E7FF48}"/>
            </c:ext>
          </c:extLst>
        </c:ser>
        <c:ser>
          <c:idx val="1"/>
          <c:order val="1"/>
          <c:tx>
            <c:strRef>
              <c:f>dashboard!$C$30</c:f>
              <c:strCache>
                <c:ptCount val="1"/>
                <c:pt idx="0">
                  <c:v>Sum of Sales_Amount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445D-4CE8-A3C8-7D3E2A98E1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445D-4CE8-A3C8-7D3E2A98E1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445D-4CE8-A3C8-7D3E2A98E1C8}"/>
              </c:ext>
            </c:extLst>
          </c:dPt>
          <c:cat>
            <c:strRef>
              <c:f>dashboard!$A$31:$A$34</c:f>
              <c:strCache>
                <c:ptCount val="3"/>
                <c:pt idx="0">
                  <c:v>Consumer</c:v>
                </c:pt>
                <c:pt idx="1">
                  <c:v>Corporate</c:v>
                </c:pt>
                <c:pt idx="2">
                  <c:v>Home Office</c:v>
                </c:pt>
              </c:strCache>
            </c:strRef>
          </c:cat>
          <c:val>
            <c:numRef>
              <c:f>dashboard!$C$31:$C$34</c:f>
              <c:numCache>
                <c:formatCode>General</c:formatCode>
                <c:ptCount val="3"/>
                <c:pt idx="0">
                  <c:v>8962570.9000000004</c:v>
                </c:pt>
                <c:pt idx="1">
                  <c:v>6424555.2000000002</c:v>
                </c:pt>
                <c:pt idx="2">
                  <c:v>7595372.7599999998</c:v>
                </c:pt>
              </c:numCache>
            </c:numRef>
          </c:val>
          <c:extLst>
            <c:ext xmlns:c16="http://schemas.microsoft.com/office/drawing/2014/chart" uri="{C3380CC4-5D6E-409C-BE32-E72D297353CC}">
              <c16:uniqueId val="{00000004-9F92-4093-8949-E0B150E7FF4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352425</xdr:colOff>
      <xdr:row>0</xdr:row>
      <xdr:rowOff>0</xdr:rowOff>
    </xdr:from>
    <xdr:to>
      <xdr:col>3</xdr:col>
      <xdr:colOff>809625</xdr:colOff>
      <xdr:row>13</xdr:row>
      <xdr:rowOff>47625</xdr:rowOff>
    </xdr:to>
    <mc:AlternateContent xmlns:mc="http://schemas.openxmlformats.org/markup-compatibility/2006" xmlns:a14="http://schemas.microsoft.com/office/drawing/2010/main">
      <mc:Choice Requires="a14">
        <xdr:graphicFrame macro="">
          <xdr:nvGraphicFramePr>
            <xdr:cNvPr id="5" name="Brand">
              <a:extLst>
                <a:ext uri="{FF2B5EF4-FFF2-40B4-BE49-F238E27FC236}">
                  <a16:creationId xmlns:a16="http://schemas.microsoft.com/office/drawing/2014/main" id="{C89EC12E-7D87-4610-9D02-49A24AC967AA}"/>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2066925"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800100</xdr:colOff>
      <xdr:row>0</xdr:row>
      <xdr:rowOff>0</xdr:rowOff>
    </xdr:from>
    <xdr:to>
      <xdr:col>6</xdr:col>
      <xdr:colOff>38100</xdr:colOff>
      <xdr:row>13</xdr:row>
      <xdr:rowOff>47625</xdr:rowOff>
    </xdr:to>
    <mc:AlternateContent xmlns:mc="http://schemas.openxmlformats.org/markup-compatibility/2006" xmlns:a14="http://schemas.microsoft.com/office/drawing/2010/main">
      <mc:Choice Requires="a14">
        <xdr:graphicFrame macro="">
          <xdr:nvGraphicFramePr>
            <xdr:cNvPr id="6" name="Payment_Method">
              <a:extLst>
                <a:ext uri="{FF2B5EF4-FFF2-40B4-BE49-F238E27FC236}">
                  <a16:creationId xmlns:a16="http://schemas.microsoft.com/office/drawing/2014/main" id="{E90DB12E-3288-4241-A1AC-9F915A61B76E}"/>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3886200"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28575</xdr:colOff>
      <xdr:row>0</xdr:row>
      <xdr:rowOff>0</xdr:rowOff>
    </xdr:from>
    <xdr:to>
      <xdr:col>9</xdr:col>
      <xdr:colOff>28575</xdr:colOff>
      <xdr:row>13</xdr:row>
      <xdr:rowOff>47625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12E05EA-E148-451D-9E77-BBD529915A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05475"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504825</xdr:colOff>
      <xdr:row>15</xdr:row>
      <xdr:rowOff>157163</xdr:rowOff>
    </xdr:from>
    <xdr:to>
      <xdr:col>10</xdr:col>
      <xdr:colOff>85725</xdr:colOff>
      <xdr:row>27</xdr:row>
      <xdr:rowOff>1</xdr:rowOff>
    </xdr:to>
    <xdr:graphicFrame macro="">
      <xdr:nvGraphicFramePr>
        <xdr:cNvPr id="10" name="Chart 9">
          <a:extLst>
            <a:ext uri="{FF2B5EF4-FFF2-40B4-BE49-F238E27FC236}">
              <a16:creationId xmlns:a16="http://schemas.microsoft.com/office/drawing/2014/main" id="{17E1AED7-0396-44E7-9BC5-0707E4C45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419100</xdr:colOff>
      <xdr:row>42</xdr:row>
      <xdr:rowOff>4762</xdr:rowOff>
    </xdr:from>
    <xdr:to>
      <xdr:col>12</xdr:col>
      <xdr:colOff>114300</xdr:colOff>
      <xdr:row>54</xdr:row>
      <xdr:rowOff>171450</xdr:rowOff>
    </xdr:to>
    <xdr:graphicFrame macro="">
      <xdr:nvGraphicFramePr>
        <xdr:cNvPr id="12" name="Chart 11">
          <a:extLst>
            <a:ext uri="{FF2B5EF4-FFF2-40B4-BE49-F238E27FC236}">
              <a16:creationId xmlns:a16="http://schemas.microsoft.com/office/drawing/2014/main" id="{FD95B429-219A-4D09-A4B2-282F877B6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466724</xdr:colOff>
      <xdr:row>28</xdr:row>
      <xdr:rowOff>185737</xdr:rowOff>
    </xdr:from>
    <xdr:to>
      <xdr:col>10</xdr:col>
      <xdr:colOff>104775</xdr:colOff>
      <xdr:row>40</xdr:row>
      <xdr:rowOff>0</xdr:rowOff>
    </xdr:to>
    <xdr:graphicFrame macro="">
      <xdr:nvGraphicFramePr>
        <xdr:cNvPr id="13" name="Chart 12">
          <a:extLst>
            <a:ext uri="{FF2B5EF4-FFF2-40B4-BE49-F238E27FC236}">
              <a16:creationId xmlns:a16="http://schemas.microsoft.com/office/drawing/2014/main" id="{DAF72C0C-C237-4C7B-A151-F45FF7387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19050</xdr:colOff>
      <xdr:row>0</xdr:row>
      <xdr:rowOff>0</xdr:rowOff>
    </xdr:from>
    <xdr:to>
      <xdr:col>14</xdr:col>
      <xdr:colOff>304800</xdr:colOff>
      <xdr:row>7</xdr:row>
      <xdr:rowOff>38100</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196DA0C4-FDB4-4350-B9DD-2226BE89F2B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7524750" y="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8.484612384258" backgroundQuery="1" createdVersion="7" refreshedVersion="7" minRefreshableVersion="3" recordCount="0" supportSubquery="1" supportAdvancedDrill="1" xr:uid="{A4A5F2A1-EF85-4B1A-AA6B-5E5CE47871DA}">
  <cacheSource type="external" connectionId="1"/>
  <cacheFields count="3">
    <cacheField name="[Measures].[Sum of Sales_Amount]" caption="Sum of Sales_Amount" numFmtId="0" hierarchy="26" level="32767"/>
    <cacheField name="[SalesTable].[Brand].[Brand]" caption="Brand" numFmtId="0" hierarchy="10" level="1">
      <sharedItems containsSemiMixedTypes="0" containsNonDate="0" containsString="0"/>
    </cacheField>
    <cacheField name="[SalesTable].[Customer_State].[Customer_State]" caption="Customer_State" numFmtId="0" hierarchy="3" level="1">
      <sharedItems count="9">
        <s v="Delhi"/>
        <s v="Gujarat"/>
        <s v="Karnataka"/>
        <s v="Maharashtra"/>
        <s v="Rajasthan"/>
        <s v="Tamil Nadu"/>
        <s v="Telangana"/>
        <s v="Uttar Pradesh"/>
        <s v="West Bengal"/>
      </sharedItems>
    </cacheField>
  </cacheFields>
  <cacheHierarchies count="30">
    <cacheHierarchy uniqueName="[SalesTable].[Column1]" caption="Column1" attribute="1" defaultMemberUniqueName="[SalesTable].[Column1].[All]" allUniqueName="[SalesTable].[Column1].[All]" dimensionUniqueName="[SalesTable]" displayFolder="" count="2" memberValueDatatype="130" unbalanced="0"/>
    <cacheHierarchy uniqueName="[SalesTable].[Customer_Name]" caption="Customer_Name" attribute="1" defaultMemberUniqueName="[SalesTable].[Customer_Name].[All]" allUniqueName="[SalesTable].[Customer_Name].[All]" dimensionUniqueName="[SalesTable]" displayFolder="" count="2" memberValueDatatype="130" unbalanced="0"/>
    <cacheHierarchy uniqueName="[SalesTable].[Customer_City]" caption="Customer_City" attribute="1" defaultMemberUniqueName="[SalesTable].[Customer_City].[All]" allUniqueName="[SalesTable].[Customer_City].[All]" dimensionUniqueName="[SalesTable]" displayFolder="" count="2" memberValueDatatype="130" unbalanced="0"/>
    <cacheHierarchy uniqueName="[SalesTable].[Customer_State]" caption="Customer_State" attribute="1" defaultMemberUniqueName="[SalesTable].[Customer_State].[All]" allUniqueName="[SalesTable].[Customer_State].[All]" dimensionUniqueName="[SalesTable]" displayFolder="" count="2" memberValueDatatype="130" unbalanced="0">
      <fieldsUsage count="2">
        <fieldUsage x="-1"/>
        <fieldUsage x="2"/>
      </fieldsUsage>
    </cacheHierarchy>
    <cacheHierarchy uniqueName="[SalesTable].[Customer_Segment]" caption="Customer_Segment" attribute="1" defaultMemberUniqueName="[SalesTable].[Customer_Segment].[All]" allUniqueName="[SalesTable].[Customer_Segment].[All]" dimensionUniqueName="[SalesTable]" displayFolder="" count="2" memberValueDatatype="130" unbalanced="0"/>
    <cacheHierarchy uniqueName="[SalesTable].[Order_ID]" caption="Order_ID" attribute="1" defaultMemberUniqueName="[SalesTable].[Order_ID].[All]" allUniqueName="[SalesTable].[Order_ID].[All]" dimensionUniqueName="[SalesTable]" displayFolder="" count="2" memberValueDatatype="130" unbalanced="0"/>
    <cacheHierarchy uniqueName="[SalesTable].[Order_Date]" caption="Order_Date" attribute="1" time="1" defaultMemberUniqueName="[SalesTable].[Order_Date].[All]" allUniqueName="[SalesTable].[Order_Date].[All]" dimensionUniqueName="[SalesTable]" displayFolder="" count="2" memberValueDatatype="7" unbalanced="0"/>
    <cacheHierarchy uniqueName="[SalesTable].[Product_ID]" caption="Product_ID" attribute="1" defaultMemberUniqueName="[SalesTable].[Product_ID].[All]" allUniqueName="[SalesTable].[Product_ID].[All]" dimensionUniqueName="[SalesTable]" displayFolder="" count="2" memberValueDatatype="130" unbalanced="0"/>
    <cacheHierarchy uniqueName="[SalesTable].[Product_Name]" caption="Product_Name" attribute="1" defaultMemberUniqueName="[SalesTable].[Product_Name].[All]" allUniqueName="[SalesTable].[Product_Name].[All]" dimensionUniqueName="[SalesTable]" displayFolder="" count="2" memberValueDatatype="130" unbalanced="0"/>
    <cacheHierarchy uniqueName="[SalesTable].[Product_Category]" caption="Product_Category" attribute="1" defaultMemberUniqueName="[SalesTable].[Product_Category].[All]" allUniqueName="[SalesTable].[Product_Category].[All]" dimensionUniqueName="[SalesTable]" displayFolder="" count="2" memberValueDatatype="130" unbalanced="0"/>
    <cacheHierarchy uniqueName="[SalesTable].[Brand]" caption="Brand" attribute="1" defaultMemberUniqueName="[SalesTable].[Brand].[All]" allUniqueName="[SalesTable].[Brand].[All]" dimensionUniqueName="[SalesTable]" displayFolder="" count="2" memberValueDatatype="130" unbalanced="0">
      <fieldsUsage count="2">
        <fieldUsage x="-1"/>
        <fieldUsage x="1"/>
      </fieldsUsage>
    </cacheHierarchy>
    <cacheHierarchy uniqueName="[SalesTable].[Quantity]" caption="Quantity" attribute="1" defaultMemberUniqueName="[SalesTable].[Quantity].[All]" allUniqueName="[SalesTable].[Quantity].[All]" dimensionUniqueName="[SalesTable]" displayFolder="" count="2" memberValueDatatype="20" unbalanced="0"/>
    <cacheHierarchy uniqueName="[SalesTable].[Unit_Price]" caption="Unit_Price" attribute="1" defaultMemberUniqueName="[SalesTable].[Unit_Price].[All]" allUniqueName="[SalesTable].[Unit_Price].[All]" dimensionUniqueName="[SalesTable]" displayFolder="" count="2" memberValueDatatype="20" unbalanced="0"/>
    <cacheHierarchy uniqueName="[SalesTable].[Discount_Percentage]" caption="Discount_Percentage" attribute="1" defaultMemberUniqueName="[SalesTable].[Discount_Percentage].[All]" allUniqueName="[SalesTable].[Discount_Percentage].[All]" dimensionUniqueName="[SalesTable]" displayFolder="" count="2" memberValueDatatype="20" unbalanced="0"/>
    <cacheHierarchy uniqueName="[SalesTable].[Sales_Amount]" caption="Sales_Amount" attribute="1" defaultMemberUniqueName="[SalesTable].[Sales_Amount].[All]" allUniqueName="[SalesTable].[Sales_Amount].[All]" dimensionUniqueName="[SalesTable]" displayFolder="" count="2" memberValueDatatype="5" unbalanced="0"/>
    <cacheHierarchy uniqueName="[SalesTable].[Cost_Amount]" caption="Cost_Amount" attribute="1" defaultMemberUniqueName="[SalesTable].[Cost_Amount].[All]" allUniqueName="[SalesTable].[Cost_Amount].[All]" dimensionUniqueName="[SalesTable]" displayFolder="" count="2" memberValueDatatype="5" unbalanced="0"/>
    <cacheHierarchy uniqueName="[SalesTable].[Profit]" caption="Profit" attribute="1" defaultMemberUniqueName="[SalesTable].[Profit].[All]" allUniqueName="[SalesTable].[Profit].[All]" dimensionUniqueName="[SalesTable]" displayFolder="" count="2" memberValueDatatype="5" unbalanced="0"/>
    <cacheHierarchy uniqueName="[SalesTable].[Payment_Method]" caption="Payment_Method" attribute="1" defaultMemberUniqueName="[SalesTable].[Payment_Method].[All]" allUniqueName="[SalesTable].[Payment_Method].[All]" dimensionUniqueName="[SalesTable]" displayFolder="" count="2" memberValueDatatype="130" unbalanced="0"/>
    <cacheHierarchy uniqueName="[SalesTable].[Salesperson_ID]" caption="Salesperson_ID" attribute="1" defaultMemberUniqueName="[SalesTable].[Salesperson_ID].[All]" allUniqueName="[SalesTable].[Salesperson_ID].[All]" dimensionUniqueName="[SalesTable]" displayFolder="" count="2" memberValueDatatype="130" unbalanced="0"/>
    <cacheHierarchy uniqueName="[SalesTable].[Salesperson_Name]" caption="Salesperson_Name" attribute="1" defaultMemberUniqueName="[SalesTable].[Salesperson_Name].[All]" allUniqueName="[SalesTable].[Salesperson_Name].[All]" dimensionUniqueName="[SalesTable]" displayFolder="" count="2" memberValueDatatype="130" unbalanced="0"/>
    <cacheHierarchy uniqueName="[SalesTable].[Region]" caption="Region" attribute="1" defaultMemberUniqueName="[SalesTable].[Region].[All]" allUniqueName="[SalesTable].[Region].[All]" dimensionUniqueName="[SalesTable]" displayFolder="" count="2" memberValueDatatype="130" unbalanced="0"/>
    <cacheHierarchy uniqueName="[SalesTable].[Store_Name]" caption="Store_Name" attribute="1" defaultMemberUniqueName="[SalesTable].[Store_Name].[All]" allUniqueName="[SalesTable].[Store_Name].[All]" dimensionUniqueName="[SalesTable]" displayFolder="" count="2" memberValueDatatype="130" unbalanced="0"/>
    <cacheHierarchy uniqueName="[SalesTable].[Delivery_Status]" caption="Delivery_Status" attribute="1" defaultMemberUniqueName="[SalesTable].[Delivery_Status].[All]" allUniqueName="[SalesTable].[Delivery_Status].[All]" dimensionUniqueName="[SalesTable]" displayFolder="" count="2" memberValueDatatype="130" unbalanced="0"/>
    <cacheHierarchy uniqueName="[SalesTable].[Return_Status]" caption="Return_Status" attribute="1" defaultMemberUniqueName="[SalesTable].[Return_Status].[All]" allUniqueName="[SalesTable].[Return_Status].[All]" dimensionUniqueName="[SalesTable]" displayFolder="" count="2" memberValueDatatype="130" unbalanced="0"/>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Sales_Amount]" caption="Sum of Sales_Amount" measure="1" displayFolder="" measureGroup="SalesTable"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SalesTable"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Table" count="0" hidden="1">
      <extLst>
        <ext xmlns:x15="http://schemas.microsoft.com/office/spreadsheetml/2010/11/main" uri="{B97F6D7D-B522-45F9-BDA1-12C45D357490}">
          <x15:cacheHierarchy aggregatedColumn="11"/>
        </ext>
      </extLst>
    </cacheHierarchy>
    <cacheHierarchy uniqueName="[Measures].[Sum of Discount_Percentage]" caption="Sum of Discount_Percentage" measure="1" displayFolder="" measureGroup="SalesTabl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Table" uniqueName="[SalesTable]" caption="SalesTable"/>
  </dimensions>
  <measureGroups count="1">
    <measureGroup name="SalesTable" caption="Sales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8.484612962966" backgroundQuery="1" createdVersion="7" refreshedVersion="7" minRefreshableVersion="3" recordCount="0" supportSubquery="1" supportAdvancedDrill="1" xr:uid="{7E009796-14AC-428B-8422-69988BA2DD2B}">
  <cacheSource type="external" connectionId="1"/>
  <cacheFields count="4">
    <cacheField name="[SalesTable].[Product_Category].[Product_Category]" caption="Product_Category" numFmtId="0" hierarchy="9" level="1">
      <sharedItems count="6">
        <s v="Clothing"/>
        <s v="Electronics"/>
        <s v="Furniture"/>
        <s v="Grocery"/>
        <s v="Home Appliances"/>
        <s v="Sports"/>
      </sharedItems>
    </cacheField>
    <cacheField name="[Measures].[Sum of Quantity]" caption="Sum of Quantity" numFmtId="0" hierarchy="28" level="32767"/>
    <cacheField name="[Measures].[Sum of Discount_Percentage]" caption="Sum of Discount_Percentage" numFmtId="0" hierarchy="29" level="32767"/>
    <cacheField name="[Measures].[Sum of Sales_Amount]" caption="Sum of Sales_Amount" numFmtId="0" hierarchy="26" level="32767"/>
  </cacheFields>
  <cacheHierarchies count="30">
    <cacheHierarchy uniqueName="[SalesTable].[Column1]" caption="Column1" attribute="1" defaultMemberUniqueName="[SalesTable].[Column1].[All]" allUniqueName="[SalesTable].[Column1].[All]" dimensionUniqueName="[SalesTable]" displayFolder="" count="0" memberValueDatatype="130" unbalanced="0"/>
    <cacheHierarchy uniqueName="[SalesTable].[Customer_Name]" caption="Customer_Name" attribute="1" defaultMemberUniqueName="[SalesTable].[Customer_Name].[All]" allUniqueName="[SalesTable].[Customer_Name].[All]" dimensionUniqueName="[SalesTable]" displayFolder="" count="0" memberValueDatatype="130" unbalanced="0"/>
    <cacheHierarchy uniqueName="[SalesTable].[Customer_City]" caption="Customer_City" attribute="1" defaultMemberUniqueName="[SalesTable].[Customer_City].[All]" allUniqueName="[SalesTable].[Customer_City].[All]" dimensionUniqueName="[SalesTable]" displayFolder="" count="0" memberValueDatatype="130" unbalanced="0"/>
    <cacheHierarchy uniqueName="[SalesTable].[Customer_State]" caption="Customer_State" attribute="1" defaultMemberUniqueName="[SalesTable].[Customer_State].[All]" allUniqueName="[SalesTable].[Customer_State].[All]" dimensionUniqueName="[SalesTable]" displayFolder="" count="0" memberValueDatatype="130" unbalanced="0"/>
    <cacheHierarchy uniqueName="[SalesTable].[Customer_Segment]" caption="Customer_Segment" attribute="1" defaultMemberUniqueName="[SalesTable].[Customer_Segment].[All]" allUniqueName="[SalesTable].[Customer_Segment].[All]" dimensionUniqueName="[SalesTable]" displayFolder="" count="0" memberValueDatatype="130" unbalanced="0"/>
    <cacheHierarchy uniqueName="[SalesTable].[Order_ID]" caption="Order_ID" attribute="1" defaultMemberUniqueName="[SalesTable].[Order_ID].[All]" allUniqueName="[SalesTable].[Order_ID].[All]" dimensionUniqueName="[SalesTable]" displayFolder="" count="0" memberValueDatatype="130" unbalanced="0"/>
    <cacheHierarchy uniqueName="[SalesTable].[Order_Date]" caption="Order_Date" attribute="1" time="1" defaultMemberUniqueName="[SalesTable].[Order_Date].[All]" allUniqueName="[SalesTable].[Order_Date].[All]" dimensionUniqueName="[SalesTable]" displayFolder="" count="2" memberValueDatatype="7" unbalanced="0"/>
    <cacheHierarchy uniqueName="[SalesTable].[Product_ID]" caption="Product_ID" attribute="1" defaultMemberUniqueName="[SalesTable].[Product_ID].[All]" allUniqueName="[SalesTable].[Product_ID].[All]" dimensionUniqueName="[SalesTable]" displayFolder="" count="0" memberValueDatatype="130" unbalanced="0"/>
    <cacheHierarchy uniqueName="[SalesTable].[Product_Name]" caption="Product_Name" attribute="1" defaultMemberUniqueName="[SalesTable].[Product_Name].[All]" allUniqueName="[SalesTable].[Product_Name].[All]" dimensionUniqueName="[SalesTable]" displayFolder="" count="0" memberValueDatatype="130" unbalanced="0"/>
    <cacheHierarchy uniqueName="[SalesTable].[Product_Category]" caption="Product_Category" attribute="1" defaultMemberUniqueName="[SalesTable].[Product_Category].[All]" allUniqueName="[SalesTable].[Product_Category].[All]" dimensionUniqueName="[SalesTable]" displayFolder="" count="2" memberValueDatatype="130" unbalanced="0">
      <fieldsUsage count="2">
        <fieldUsage x="-1"/>
        <fieldUsage x="0"/>
      </fieldsUsage>
    </cacheHierarchy>
    <cacheHierarchy uniqueName="[SalesTable].[Brand]" caption="Brand" attribute="1" defaultMemberUniqueName="[SalesTable].[Brand].[All]" allUniqueName="[SalesTable].[Brand].[All]" dimensionUniqueName="[SalesTable]" displayFolder="" count="2" memberValueDatatype="130" unbalanced="0"/>
    <cacheHierarchy uniqueName="[SalesTable].[Quantity]" caption="Quantity" attribute="1" defaultMemberUniqueName="[SalesTable].[Quantity].[All]" allUniqueName="[SalesTable].[Quantity].[All]" dimensionUniqueName="[SalesTable]" displayFolder="" count="0" memberValueDatatype="20" unbalanced="0"/>
    <cacheHierarchy uniqueName="[SalesTable].[Unit_Price]" caption="Unit_Price" attribute="1" defaultMemberUniqueName="[SalesTable].[Unit_Price].[All]" allUniqueName="[SalesTable].[Unit_Price].[All]" dimensionUniqueName="[SalesTable]" displayFolder="" count="0" memberValueDatatype="20" unbalanced="0"/>
    <cacheHierarchy uniqueName="[SalesTable].[Discount_Percentage]" caption="Discount_Percentage" attribute="1" defaultMemberUniqueName="[SalesTable].[Discount_Percentage].[All]" allUniqueName="[SalesTable].[Discount_Percentage].[All]" dimensionUniqueName="[SalesTable]" displayFolder="" count="0" memberValueDatatype="20" unbalanced="0"/>
    <cacheHierarchy uniqueName="[SalesTable].[Sales_Amount]" caption="Sales_Amount" attribute="1" defaultMemberUniqueName="[SalesTable].[Sales_Amount].[All]" allUniqueName="[SalesTable].[Sales_Amount].[All]" dimensionUniqueName="[SalesTable]" displayFolder="" count="0" memberValueDatatype="5" unbalanced="0"/>
    <cacheHierarchy uniqueName="[SalesTable].[Cost_Amount]" caption="Cost_Amount" attribute="1" defaultMemberUniqueName="[SalesTable].[Cost_Amount].[All]" allUniqueName="[SalesTable].[Cost_Amount].[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Payment_Method]" caption="Payment_Method" attribute="1" defaultMemberUniqueName="[SalesTable].[Payment_Method].[All]" allUniqueName="[SalesTable].[Payment_Method].[All]" dimensionUniqueName="[SalesTable]" displayFolder="" count="2" memberValueDatatype="130" unbalanced="0"/>
    <cacheHierarchy uniqueName="[SalesTable].[Salesperson_ID]" caption="Salesperson_ID" attribute="1" defaultMemberUniqueName="[SalesTable].[Salesperson_ID].[All]" allUniqueName="[SalesTable].[Salesperson_ID].[All]" dimensionUniqueName="[SalesTable]" displayFolder="" count="0" memberValueDatatype="130" unbalanced="0"/>
    <cacheHierarchy uniqueName="[SalesTable].[Salesperson_Name]" caption="Salesperson_Name" attribute="1" defaultMemberUniqueName="[SalesTable].[Salesperson_Name].[All]" allUniqueName="[SalesTable].[Salesperson_Name].[All]" dimensionUniqueName="[SalesTable]" displayFolder="" count="0" memberValueDatatype="130" unbalanced="0"/>
    <cacheHierarchy uniqueName="[SalesTable].[Region]" caption="Region" attribute="1" defaultMemberUniqueName="[SalesTable].[Region].[All]" allUniqueName="[SalesTable].[Region].[All]" dimensionUniqueName="[SalesTable]" displayFolder="" count="2" memberValueDatatype="130" unbalanced="0"/>
    <cacheHierarchy uniqueName="[SalesTable].[Store_Name]" caption="Store_Name" attribute="1" defaultMemberUniqueName="[SalesTable].[Store_Name].[All]" allUniqueName="[SalesTable].[Store_Name].[All]" dimensionUniqueName="[SalesTable]" displayFolder="" count="0" memberValueDatatype="130" unbalanced="0"/>
    <cacheHierarchy uniqueName="[SalesTable].[Delivery_Status]" caption="Delivery_Status" attribute="1" defaultMemberUniqueName="[SalesTable].[Delivery_Status].[All]" allUniqueName="[SalesTable].[Delivery_Status].[All]" dimensionUniqueName="[SalesTable]" displayFolder="" count="0" memberValueDatatype="130" unbalanced="0"/>
    <cacheHierarchy uniqueName="[SalesTable].[Return_Status]" caption="Return_Status" attribute="1" defaultMemberUniqueName="[SalesTable].[Return_Status].[All]" allUniqueName="[SalesTable].[Return_Status].[All]" dimensionUniqueName="[SalesTable]" displayFolder="" count="0" memberValueDatatype="130" unbalanced="0"/>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Sales_Amount]" caption="Sum of Sales_Amount" measure="1" displayFolder="" measureGroup="SalesTable"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SalesTable"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Tabl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Discount_Percentage]" caption="Sum of Discount_Percentage" measure="1" displayFolder="" measureGroup="SalesTable"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Table" uniqueName="[SalesTable]" caption="SalesTable"/>
  </dimensions>
  <measureGroups count="1">
    <measureGroup name="SalesTable" caption="Sales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8.484613310182" backgroundQuery="1" createdVersion="7" refreshedVersion="7" minRefreshableVersion="3" recordCount="0" supportSubquery="1" supportAdvancedDrill="1" xr:uid="{9A8A0315-4027-4903-BF74-E1A0A0C74E94}">
  <cacheSource type="external" connectionId="1"/>
  <cacheFields count="3">
    <cacheField name="[Measures].[Sum of Profit]" caption="Sum of Profit" numFmtId="0" hierarchy="27" level="32767"/>
    <cacheField name="[Measures].[Sum of Sales_Amount]" caption="Sum of Sales_Amount" numFmtId="0" hierarchy="26" level="32767"/>
    <cacheField name="[SalesTable].[Customer_Segment].[Customer_Segment]" caption="Customer_Segment" numFmtId="0" hierarchy="4" level="1">
      <sharedItems count="3">
        <s v="Consumer"/>
        <s v="Corporate"/>
        <s v="Home Office"/>
      </sharedItems>
    </cacheField>
  </cacheFields>
  <cacheHierarchies count="30">
    <cacheHierarchy uniqueName="[SalesTable].[Column1]" caption="Column1" attribute="1" defaultMemberUniqueName="[SalesTable].[Column1].[All]" allUniqueName="[SalesTable].[Column1].[All]" dimensionUniqueName="[SalesTable]" displayFolder="" count="0" memberValueDatatype="130" unbalanced="0"/>
    <cacheHierarchy uniqueName="[SalesTable].[Customer_Name]" caption="Customer_Name" attribute="1" defaultMemberUniqueName="[SalesTable].[Customer_Name].[All]" allUniqueName="[SalesTable].[Customer_Name].[All]" dimensionUniqueName="[SalesTable]" displayFolder="" count="0" memberValueDatatype="130" unbalanced="0"/>
    <cacheHierarchy uniqueName="[SalesTable].[Customer_City]" caption="Customer_City" attribute="1" defaultMemberUniqueName="[SalesTable].[Customer_City].[All]" allUniqueName="[SalesTable].[Customer_City].[All]" dimensionUniqueName="[SalesTable]" displayFolder="" count="0" memberValueDatatype="130" unbalanced="0"/>
    <cacheHierarchy uniqueName="[SalesTable].[Customer_State]" caption="Customer_State" attribute="1" defaultMemberUniqueName="[SalesTable].[Customer_State].[All]" allUniqueName="[SalesTable].[Customer_State].[All]" dimensionUniqueName="[SalesTable]" displayFolder="" count="2" memberValueDatatype="130" unbalanced="0"/>
    <cacheHierarchy uniqueName="[SalesTable].[Customer_Segment]" caption="Customer_Segment" attribute="1" defaultMemberUniqueName="[SalesTable].[Customer_Segment].[All]" allUniqueName="[SalesTable].[Customer_Segment].[All]" dimensionUniqueName="[SalesTable]" displayFolder="" count="2" memberValueDatatype="130" unbalanced="0">
      <fieldsUsage count="2">
        <fieldUsage x="-1"/>
        <fieldUsage x="2"/>
      </fieldsUsage>
    </cacheHierarchy>
    <cacheHierarchy uniqueName="[SalesTable].[Order_ID]" caption="Order_ID" attribute="1" defaultMemberUniqueName="[SalesTable].[Order_ID].[All]" allUniqueName="[SalesTable].[Order_ID].[All]" dimensionUniqueName="[SalesTable]" displayFolder="" count="0" memberValueDatatype="130" unbalanced="0"/>
    <cacheHierarchy uniqueName="[SalesTable].[Order_Date]" caption="Order_Date" attribute="1" time="1" defaultMemberUniqueName="[SalesTable].[Order_Date].[All]" allUniqueName="[SalesTable].[Order_Date].[All]" dimensionUniqueName="[SalesTable]" displayFolder="" count="2" memberValueDatatype="7" unbalanced="0"/>
    <cacheHierarchy uniqueName="[SalesTable].[Product_ID]" caption="Product_ID" attribute="1" defaultMemberUniqueName="[SalesTable].[Product_ID].[All]" allUniqueName="[SalesTable].[Product_ID].[All]" dimensionUniqueName="[SalesTable]" displayFolder="" count="0" memberValueDatatype="130" unbalanced="0"/>
    <cacheHierarchy uniqueName="[SalesTable].[Product_Name]" caption="Product_Name" attribute="1" defaultMemberUniqueName="[SalesTable].[Product_Name].[All]" allUniqueName="[SalesTable].[Product_Name].[All]" dimensionUniqueName="[SalesTable]" displayFolder="" count="0" memberValueDatatype="130" unbalanced="0"/>
    <cacheHierarchy uniqueName="[SalesTable].[Product_Category]" caption="Product_Category" attribute="1" defaultMemberUniqueName="[SalesTable].[Product_Category].[All]" allUniqueName="[SalesTable].[Product_Category].[All]" dimensionUniqueName="[SalesTable]" displayFolder="" count="0" memberValueDatatype="130" unbalanced="0"/>
    <cacheHierarchy uniqueName="[SalesTable].[Brand]" caption="Brand" attribute="1" defaultMemberUniqueName="[SalesTable].[Brand].[All]" allUniqueName="[SalesTable].[Brand].[All]" dimensionUniqueName="[SalesTable]" displayFolder="" count="2" memberValueDatatype="130" unbalanced="0"/>
    <cacheHierarchy uniqueName="[SalesTable].[Quantity]" caption="Quantity" attribute="1" defaultMemberUniqueName="[SalesTable].[Quantity].[All]" allUniqueName="[SalesTable].[Quantity].[All]" dimensionUniqueName="[SalesTable]" displayFolder="" count="0" memberValueDatatype="20" unbalanced="0"/>
    <cacheHierarchy uniqueName="[SalesTable].[Unit_Price]" caption="Unit_Price" attribute="1" defaultMemberUniqueName="[SalesTable].[Unit_Price].[All]" allUniqueName="[SalesTable].[Unit_Price].[All]" dimensionUniqueName="[SalesTable]" displayFolder="" count="0" memberValueDatatype="20" unbalanced="0"/>
    <cacheHierarchy uniqueName="[SalesTable].[Discount_Percentage]" caption="Discount_Percentage" attribute="1" defaultMemberUniqueName="[SalesTable].[Discount_Percentage].[All]" allUniqueName="[SalesTable].[Discount_Percentage].[All]" dimensionUniqueName="[SalesTable]" displayFolder="" count="0" memberValueDatatype="20" unbalanced="0"/>
    <cacheHierarchy uniqueName="[SalesTable].[Sales_Amount]" caption="Sales_Amount" attribute="1" defaultMemberUniqueName="[SalesTable].[Sales_Amount].[All]" allUniqueName="[SalesTable].[Sales_Amount].[All]" dimensionUniqueName="[SalesTable]" displayFolder="" count="0" memberValueDatatype="5" unbalanced="0"/>
    <cacheHierarchy uniqueName="[SalesTable].[Cost_Amount]" caption="Cost_Amount" attribute="1" defaultMemberUniqueName="[SalesTable].[Cost_Amount].[All]" allUniqueName="[SalesTable].[Cost_Amount].[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Payment_Method]" caption="Payment_Method" attribute="1" defaultMemberUniqueName="[SalesTable].[Payment_Method].[All]" allUniqueName="[SalesTable].[Payment_Method].[All]" dimensionUniqueName="[SalesTable]" displayFolder="" count="2" memberValueDatatype="130" unbalanced="0"/>
    <cacheHierarchy uniqueName="[SalesTable].[Salesperson_ID]" caption="Salesperson_ID" attribute="1" defaultMemberUniqueName="[SalesTable].[Salesperson_ID].[All]" allUniqueName="[SalesTable].[Salesperson_ID].[All]" dimensionUniqueName="[SalesTable]" displayFolder="" count="0" memberValueDatatype="130" unbalanced="0"/>
    <cacheHierarchy uniqueName="[SalesTable].[Salesperson_Name]" caption="Salesperson_Name" attribute="1" defaultMemberUniqueName="[SalesTable].[Salesperson_Name].[All]" allUniqueName="[SalesTable].[Salesperson_Name].[All]" dimensionUniqueName="[SalesTable]" displayFolder="" count="0" memberValueDatatype="130" unbalanced="0"/>
    <cacheHierarchy uniqueName="[SalesTable].[Region]" caption="Region" attribute="1" defaultMemberUniqueName="[SalesTable].[Region].[All]" allUniqueName="[SalesTable].[Region].[All]" dimensionUniqueName="[SalesTable]" displayFolder="" count="2" memberValueDatatype="130" unbalanced="0"/>
    <cacheHierarchy uniqueName="[SalesTable].[Store_Name]" caption="Store_Name" attribute="1" defaultMemberUniqueName="[SalesTable].[Store_Name].[All]" allUniqueName="[SalesTable].[Store_Name].[All]" dimensionUniqueName="[SalesTable]" displayFolder="" count="0" memberValueDatatype="130" unbalanced="0"/>
    <cacheHierarchy uniqueName="[SalesTable].[Delivery_Status]" caption="Delivery_Status" attribute="1" defaultMemberUniqueName="[SalesTable].[Delivery_Status].[All]" allUniqueName="[SalesTable].[Delivery_Status].[All]" dimensionUniqueName="[SalesTable]" displayFolder="" count="0" memberValueDatatype="130" unbalanced="0"/>
    <cacheHierarchy uniqueName="[SalesTable].[Return_Status]" caption="Return_Status" attribute="1" defaultMemberUniqueName="[SalesTable].[Return_Status].[All]" allUniqueName="[SalesTable].[Return_Status].[All]" dimensionUniqueName="[SalesTable]" displayFolder="" count="0" memberValueDatatype="130" unbalanced="0"/>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Sales_Amount]" caption="Sum of Sales_Amount" measure="1" displayFolder="" measureGroup="SalesTable"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Sales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Table" count="0" hidden="1">
      <extLst>
        <ext xmlns:x15="http://schemas.microsoft.com/office/spreadsheetml/2010/11/main" uri="{B97F6D7D-B522-45F9-BDA1-12C45D357490}">
          <x15:cacheHierarchy aggregatedColumn="11"/>
        </ext>
      </extLst>
    </cacheHierarchy>
    <cacheHierarchy uniqueName="[Measures].[Sum of Discount_Percentage]" caption="Sum of Discount_Percentage" measure="1" displayFolder="" measureGroup="SalesTabl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Table" uniqueName="[SalesTable]" caption="SalesTable"/>
  </dimensions>
  <measureGroups count="1">
    <measureGroup name="SalesTable" caption="Sales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8.484613657405" backgroundQuery="1" createdVersion="7" refreshedVersion="7" minRefreshableVersion="3" recordCount="0" supportSubquery="1" supportAdvancedDrill="1" xr:uid="{E206DC0D-1B41-4CC2-B98A-F268D600B613}">
  <cacheSource type="external" connectionId="1"/>
  <cacheFields count="3">
    <cacheField name="[SalesTable].[Customer_State].[Customer_State]" caption="Customer_State" numFmtId="0" hierarchy="3" level="1">
      <sharedItems count="9">
        <s v="Delhi"/>
        <s v="Gujarat"/>
        <s v="Karnataka"/>
        <s v="Maharashtra"/>
        <s v="Rajasthan"/>
        <s v="Tamil Nadu"/>
        <s v="Telangana"/>
        <s v="Uttar Pradesh"/>
        <s v="West Bengal"/>
      </sharedItems>
    </cacheField>
    <cacheField name="[Measures].[Sum of Profit]" caption="Sum of Profit" numFmtId="0" hierarchy="27" level="32767"/>
    <cacheField name="[Measures].[Sum of Sales_Amount]" caption="Sum of Sales_Amount" numFmtId="0" hierarchy="26" level="32767"/>
  </cacheFields>
  <cacheHierarchies count="30">
    <cacheHierarchy uniqueName="[SalesTable].[Column1]" caption="Column1" attribute="1" defaultMemberUniqueName="[SalesTable].[Column1].[All]" allUniqueName="[SalesTable].[Column1].[All]" dimensionUniqueName="[SalesTable]" displayFolder="" count="0" memberValueDatatype="130" unbalanced="0"/>
    <cacheHierarchy uniqueName="[SalesTable].[Customer_Name]" caption="Customer_Name" attribute="1" defaultMemberUniqueName="[SalesTable].[Customer_Name].[All]" allUniqueName="[SalesTable].[Customer_Name].[All]" dimensionUniqueName="[SalesTable]" displayFolder="" count="0" memberValueDatatype="130" unbalanced="0"/>
    <cacheHierarchy uniqueName="[SalesTable].[Customer_City]" caption="Customer_City" attribute="1" defaultMemberUniqueName="[SalesTable].[Customer_City].[All]" allUniqueName="[SalesTable].[Customer_City].[All]" dimensionUniqueName="[SalesTable]" displayFolder="" count="0" memberValueDatatype="130" unbalanced="0"/>
    <cacheHierarchy uniqueName="[SalesTable].[Customer_State]" caption="Customer_State" attribute="1" defaultMemberUniqueName="[SalesTable].[Customer_State].[All]" allUniqueName="[SalesTable].[Customer_State].[All]" dimensionUniqueName="[SalesTable]" displayFolder="" count="2" memberValueDatatype="130" unbalanced="0">
      <fieldsUsage count="2">
        <fieldUsage x="-1"/>
        <fieldUsage x="0"/>
      </fieldsUsage>
    </cacheHierarchy>
    <cacheHierarchy uniqueName="[SalesTable].[Customer_Segment]" caption="Customer_Segment" attribute="1" defaultMemberUniqueName="[SalesTable].[Customer_Segment].[All]" allUniqueName="[SalesTable].[Customer_Segment].[All]" dimensionUniqueName="[SalesTable]" displayFolder="" count="0" memberValueDatatype="130" unbalanced="0"/>
    <cacheHierarchy uniqueName="[SalesTable].[Order_ID]" caption="Order_ID" attribute="1" defaultMemberUniqueName="[SalesTable].[Order_ID].[All]" allUniqueName="[SalesTable].[Order_ID].[All]" dimensionUniqueName="[SalesTable]" displayFolder="" count="0" memberValueDatatype="130" unbalanced="0"/>
    <cacheHierarchy uniqueName="[SalesTable].[Order_Date]" caption="Order_Date" attribute="1" time="1" defaultMemberUniqueName="[SalesTable].[Order_Date].[All]" allUniqueName="[SalesTable].[Order_Date].[All]" dimensionUniqueName="[SalesTable]" displayFolder="" count="2" memberValueDatatype="7" unbalanced="0"/>
    <cacheHierarchy uniqueName="[SalesTable].[Product_ID]" caption="Product_ID" attribute="1" defaultMemberUniqueName="[SalesTable].[Product_ID].[All]" allUniqueName="[SalesTable].[Product_ID].[All]" dimensionUniqueName="[SalesTable]" displayFolder="" count="0" memberValueDatatype="130" unbalanced="0"/>
    <cacheHierarchy uniqueName="[SalesTable].[Product_Name]" caption="Product_Name" attribute="1" defaultMemberUniqueName="[SalesTable].[Product_Name].[All]" allUniqueName="[SalesTable].[Product_Name].[All]" dimensionUniqueName="[SalesTable]" displayFolder="" count="0" memberValueDatatype="130" unbalanced="0"/>
    <cacheHierarchy uniqueName="[SalesTable].[Product_Category]" caption="Product_Category" attribute="1" defaultMemberUniqueName="[SalesTable].[Product_Category].[All]" allUniqueName="[SalesTable].[Product_Category].[All]" dimensionUniqueName="[SalesTable]" displayFolder="" count="0" memberValueDatatype="130" unbalanced="0"/>
    <cacheHierarchy uniqueName="[SalesTable].[Brand]" caption="Brand" attribute="1" defaultMemberUniqueName="[SalesTable].[Brand].[All]" allUniqueName="[SalesTable].[Brand].[All]" dimensionUniqueName="[SalesTable]" displayFolder="" count="2" memberValueDatatype="130" unbalanced="0"/>
    <cacheHierarchy uniqueName="[SalesTable].[Quantity]" caption="Quantity" attribute="1" defaultMemberUniqueName="[SalesTable].[Quantity].[All]" allUniqueName="[SalesTable].[Quantity].[All]" dimensionUniqueName="[SalesTable]" displayFolder="" count="0" memberValueDatatype="20" unbalanced="0"/>
    <cacheHierarchy uniqueName="[SalesTable].[Unit_Price]" caption="Unit_Price" attribute="1" defaultMemberUniqueName="[SalesTable].[Unit_Price].[All]" allUniqueName="[SalesTable].[Unit_Price].[All]" dimensionUniqueName="[SalesTable]" displayFolder="" count="0" memberValueDatatype="20" unbalanced="0"/>
    <cacheHierarchy uniqueName="[SalesTable].[Discount_Percentage]" caption="Discount_Percentage" attribute="1" defaultMemberUniqueName="[SalesTable].[Discount_Percentage].[All]" allUniqueName="[SalesTable].[Discount_Percentage].[All]" dimensionUniqueName="[SalesTable]" displayFolder="" count="0" memberValueDatatype="20" unbalanced="0"/>
    <cacheHierarchy uniqueName="[SalesTable].[Sales_Amount]" caption="Sales_Amount" attribute="1" defaultMemberUniqueName="[SalesTable].[Sales_Amount].[All]" allUniqueName="[SalesTable].[Sales_Amount].[All]" dimensionUniqueName="[SalesTable]" displayFolder="" count="0" memberValueDatatype="5" unbalanced="0"/>
    <cacheHierarchy uniqueName="[SalesTable].[Cost_Amount]" caption="Cost_Amount" attribute="1" defaultMemberUniqueName="[SalesTable].[Cost_Amount].[All]" allUniqueName="[SalesTable].[Cost_Amount].[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Payment_Method]" caption="Payment_Method" attribute="1" defaultMemberUniqueName="[SalesTable].[Payment_Method].[All]" allUniqueName="[SalesTable].[Payment_Method].[All]" dimensionUniqueName="[SalesTable]" displayFolder="" count="2" memberValueDatatype="130" unbalanced="0"/>
    <cacheHierarchy uniqueName="[SalesTable].[Salesperson_ID]" caption="Salesperson_ID" attribute="1" defaultMemberUniqueName="[SalesTable].[Salesperson_ID].[All]" allUniqueName="[SalesTable].[Salesperson_ID].[All]" dimensionUniqueName="[SalesTable]" displayFolder="" count="0" memberValueDatatype="130" unbalanced="0"/>
    <cacheHierarchy uniqueName="[SalesTable].[Salesperson_Name]" caption="Salesperson_Name" attribute="1" defaultMemberUniqueName="[SalesTable].[Salesperson_Name].[All]" allUniqueName="[SalesTable].[Salesperson_Name].[All]" dimensionUniqueName="[SalesTable]" displayFolder="" count="0" memberValueDatatype="130" unbalanced="0"/>
    <cacheHierarchy uniqueName="[SalesTable].[Region]" caption="Region" attribute="1" defaultMemberUniqueName="[SalesTable].[Region].[All]" allUniqueName="[SalesTable].[Region].[All]" dimensionUniqueName="[SalesTable]" displayFolder="" count="2" memberValueDatatype="130" unbalanced="0"/>
    <cacheHierarchy uniqueName="[SalesTable].[Store_Name]" caption="Store_Name" attribute="1" defaultMemberUniqueName="[SalesTable].[Store_Name].[All]" allUniqueName="[SalesTable].[Store_Name].[All]" dimensionUniqueName="[SalesTable]" displayFolder="" count="0" memberValueDatatype="130" unbalanced="0"/>
    <cacheHierarchy uniqueName="[SalesTable].[Delivery_Status]" caption="Delivery_Status" attribute="1" defaultMemberUniqueName="[SalesTable].[Delivery_Status].[All]" allUniqueName="[SalesTable].[Delivery_Status].[All]" dimensionUniqueName="[SalesTable]" displayFolder="" count="0" memberValueDatatype="130" unbalanced="0"/>
    <cacheHierarchy uniqueName="[SalesTable].[Return_Status]" caption="Return_Status" attribute="1" defaultMemberUniqueName="[SalesTable].[Return_Status].[All]" allUniqueName="[SalesTable].[Return_Status].[All]" dimensionUniqueName="[SalesTable]" displayFolder="" count="0" memberValueDatatype="130" unbalanced="0"/>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Sales_Amount]" caption="Sum of Sales_Amount" measure="1" displayFolder="" measureGroup="SalesTable"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SalesTabl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Table" count="0" hidden="1">
      <extLst>
        <ext xmlns:x15="http://schemas.microsoft.com/office/spreadsheetml/2010/11/main" uri="{B97F6D7D-B522-45F9-BDA1-12C45D357490}">
          <x15:cacheHierarchy aggregatedColumn="11"/>
        </ext>
      </extLst>
    </cacheHierarchy>
    <cacheHierarchy uniqueName="[Measures].[Sum of Discount_Percentage]" caption="Sum of Discount_Percentage" measure="1" displayFolder="" measureGroup="SalesTabl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Table" uniqueName="[SalesTable]" caption="SalesTable"/>
  </dimensions>
  <measureGroups count="1">
    <measureGroup name="SalesTable" caption="Sales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8.47223472222" backgroundQuery="1" createdVersion="3" refreshedVersion="7" minRefreshableVersion="3" recordCount="0" supportSubquery="1" supportAdvancedDrill="1" xr:uid="{41BB7611-34E6-4F9D-94FC-7F2326A6AB67}">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SalesTable].[Column1]" caption="Column1" attribute="1" defaultMemberUniqueName="[SalesTable].[Column1].[All]" allUniqueName="[SalesTable].[Column1].[All]" dimensionUniqueName="[SalesTable]" displayFolder="" count="0" memberValueDatatype="130" unbalanced="0"/>
    <cacheHierarchy uniqueName="[SalesTable].[Customer_Name]" caption="Customer_Name" attribute="1" defaultMemberUniqueName="[SalesTable].[Customer_Name].[All]" allUniqueName="[SalesTable].[Customer_Name].[All]" dimensionUniqueName="[SalesTable]" displayFolder="" count="0" memberValueDatatype="130" unbalanced="0"/>
    <cacheHierarchy uniqueName="[SalesTable].[Customer_City]" caption="Customer_City" attribute="1" defaultMemberUniqueName="[SalesTable].[Customer_City].[All]" allUniqueName="[SalesTable].[Customer_City].[All]" dimensionUniqueName="[SalesTable]" displayFolder="" count="0" memberValueDatatype="130" unbalanced="0"/>
    <cacheHierarchy uniqueName="[SalesTable].[Customer_State]" caption="Customer_State" attribute="1" defaultMemberUniqueName="[SalesTable].[Customer_State].[All]" allUniqueName="[SalesTable].[Customer_State].[All]" dimensionUniqueName="[SalesTable]" displayFolder="" count="0" memberValueDatatype="130" unbalanced="0"/>
    <cacheHierarchy uniqueName="[SalesTable].[Customer_Segment]" caption="Customer_Segment" attribute="1" defaultMemberUniqueName="[SalesTable].[Customer_Segment].[All]" allUniqueName="[SalesTable].[Customer_Segment].[All]" dimensionUniqueName="[SalesTable]" displayFolder="" count="0" memberValueDatatype="130" unbalanced="0"/>
    <cacheHierarchy uniqueName="[SalesTable].[Order_ID]" caption="Order_ID" attribute="1" defaultMemberUniqueName="[SalesTable].[Order_ID].[All]" allUniqueName="[SalesTable].[Order_ID].[All]" dimensionUniqueName="[SalesTable]" displayFolder="" count="0" memberValueDatatype="130" unbalanced="0"/>
    <cacheHierarchy uniqueName="[SalesTable].[Order_Date]" caption="Order_Date" attribute="1" time="1" defaultMemberUniqueName="[SalesTable].[Order_Date].[All]" allUniqueName="[SalesTable].[Order_Date].[All]" dimensionUniqueName="[SalesTable]" displayFolder="" count="0" memberValueDatatype="7" unbalanced="0"/>
    <cacheHierarchy uniqueName="[SalesTable].[Product_ID]" caption="Product_ID" attribute="1" defaultMemberUniqueName="[SalesTable].[Product_ID].[All]" allUniqueName="[SalesTable].[Product_ID].[All]" dimensionUniqueName="[SalesTable]" displayFolder="" count="0" memberValueDatatype="130" unbalanced="0"/>
    <cacheHierarchy uniqueName="[SalesTable].[Product_Name]" caption="Product_Name" attribute="1" defaultMemberUniqueName="[SalesTable].[Product_Name].[All]" allUniqueName="[SalesTable].[Product_Name].[All]" dimensionUniqueName="[SalesTable]" displayFolder="" count="0" memberValueDatatype="130" unbalanced="0"/>
    <cacheHierarchy uniqueName="[SalesTable].[Product_Category]" caption="Product_Category" attribute="1" defaultMemberUniqueName="[SalesTable].[Product_Category].[All]" allUniqueName="[SalesTable].[Product_Category].[All]" dimensionUniqueName="[SalesTable]" displayFolder="" count="0" memberValueDatatype="130" unbalanced="0"/>
    <cacheHierarchy uniqueName="[SalesTable].[Brand]" caption="Brand" attribute="1" defaultMemberUniqueName="[SalesTable].[Brand].[All]" allUniqueName="[SalesTable].[Brand].[All]" dimensionUniqueName="[SalesTable]" displayFolder="" count="2" memberValueDatatype="130" unbalanced="0"/>
    <cacheHierarchy uniqueName="[SalesTable].[Quantity]" caption="Quantity" attribute="1" defaultMemberUniqueName="[SalesTable].[Quantity].[All]" allUniqueName="[SalesTable].[Quantity].[All]" dimensionUniqueName="[SalesTable]" displayFolder="" count="0" memberValueDatatype="20" unbalanced="0"/>
    <cacheHierarchy uniqueName="[SalesTable].[Unit_Price]" caption="Unit_Price" attribute="1" defaultMemberUniqueName="[SalesTable].[Unit_Price].[All]" allUniqueName="[SalesTable].[Unit_Price].[All]" dimensionUniqueName="[SalesTable]" displayFolder="" count="0" memberValueDatatype="20" unbalanced="0"/>
    <cacheHierarchy uniqueName="[SalesTable].[Discount_Percentage]" caption="Discount_Percentage" attribute="1" defaultMemberUniqueName="[SalesTable].[Discount_Percentage].[All]" allUniqueName="[SalesTable].[Discount_Percentage].[All]" dimensionUniqueName="[SalesTable]" displayFolder="" count="0" memberValueDatatype="20" unbalanced="0"/>
    <cacheHierarchy uniqueName="[SalesTable].[Sales_Amount]" caption="Sales_Amount" attribute="1" defaultMemberUniqueName="[SalesTable].[Sales_Amount].[All]" allUniqueName="[SalesTable].[Sales_Amount].[All]" dimensionUniqueName="[SalesTable]" displayFolder="" count="0" memberValueDatatype="5" unbalanced="0"/>
    <cacheHierarchy uniqueName="[SalesTable].[Cost_Amount]" caption="Cost_Amount" attribute="1" defaultMemberUniqueName="[SalesTable].[Cost_Amount].[All]" allUniqueName="[SalesTable].[Cost_Amount].[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Payment_Method]" caption="Payment_Method" attribute="1" defaultMemberUniqueName="[SalesTable].[Payment_Method].[All]" allUniqueName="[SalesTable].[Payment_Method].[All]" dimensionUniqueName="[SalesTable]" displayFolder="" count="2" memberValueDatatype="130" unbalanced="0"/>
    <cacheHierarchy uniqueName="[SalesTable].[Salesperson_ID]" caption="Salesperson_ID" attribute="1" defaultMemberUniqueName="[SalesTable].[Salesperson_ID].[All]" allUniqueName="[SalesTable].[Salesperson_ID].[All]" dimensionUniqueName="[SalesTable]" displayFolder="" count="0" memberValueDatatype="130" unbalanced="0"/>
    <cacheHierarchy uniqueName="[SalesTable].[Salesperson_Name]" caption="Salesperson_Name" attribute="1" defaultMemberUniqueName="[SalesTable].[Salesperson_Name].[All]" allUniqueName="[SalesTable].[Salesperson_Name].[All]" dimensionUniqueName="[SalesTable]" displayFolder="" count="0" memberValueDatatype="130" unbalanced="0"/>
    <cacheHierarchy uniqueName="[SalesTable].[Region]" caption="Region" attribute="1" defaultMemberUniqueName="[SalesTable].[Region].[All]" allUniqueName="[SalesTable].[Region].[All]" dimensionUniqueName="[SalesTable]" displayFolder="" count="2" memberValueDatatype="130" unbalanced="0"/>
    <cacheHierarchy uniqueName="[SalesTable].[Store_Name]" caption="Store_Name" attribute="1" defaultMemberUniqueName="[SalesTable].[Store_Name].[All]" allUniqueName="[SalesTable].[Store_Name].[All]" dimensionUniqueName="[SalesTable]" displayFolder="" count="0" memberValueDatatype="130" unbalanced="0"/>
    <cacheHierarchy uniqueName="[SalesTable].[Delivery_Status]" caption="Delivery_Status" attribute="1" defaultMemberUniqueName="[SalesTable].[Delivery_Status].[All]" allUniqueName="[SalesTable].[Delivery_Status].[All]" dimensionUniqueName="[SalesTable]" displayFolder="" count="0" memberValueDatatype="130" unbalanced="0"/>
    <cacheHierarchy uniqueName="[SalesTable].[Return_Status]" caption="Return_Status" attribute="1" defaultMemberUniqueName="[SalesTable].[Return_Status].[All]" allUniqueName="[SalesTable].[Return_Status].[All]" dimensionUniqueName="[SalesTable]" displayFolder="" count="0" memberValueDatatype="130" unbalanced="0"/>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Sales_Amount]" caption="Sum of Sales_Amount" measure="1" displayFolder="" measureGroup="SalesTable"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SalesTable"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Table" count="0" hidden="1">
      <extLst>
        <ext xmlns:x15="http://schemas.microsoft.com/office/spreadsheetml/2010/11/main" uri="{B97F6D7D-B522-45F9-BDA1-12C45D357490}">
          <x15:cacheHierarchy aggregatedColumn="11"/>
        </ext>
      </extLst>
    </cacheHierarchy>
    <cacheHierarchy uniqueName="[Measures].[Sum of Discount_Percentage]" caption="Sum of Discount_Percentage" measure="1" displayFolder="" measureGroup="SalesTable"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395200749"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8.484239351848" backgroundQuery="1" createdVersion="3" refreshedVersion="7" minRefreshableVersion="3" recordCount="0" supportSubquery="1" supportAdvancedDrill="1" xr:uid="{633D7F6C-6874-4E1B-AE6F-7FCAADE3CCB7}">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SalesTable].[Column1]" caption="Column1" attribute="1" defaultMemberUniqueName="[SalesTable].[Column1].[All]" allUniqueName="[SalesTable].[Column1].[All]" dimensionUniqueName="[SalesTable]" displayFolder="" count="0" memberValueDatatype="130" unbalanced="0"/>
    <cacheHierarchy uniqueName="[SalesTable].[Customer_Name]" caption="Customer_Name" attribute="1" defaultMemberUniqueName="[SalesTable].[Customer_Name].[All]" allUniqueName="[SalesTable].[Customer_Name].[All]" dimensionUniqueName="[SalesTable]" displayFolder="" count="0" memberValueDatatype="130" unbalanced="0"/>
    <cacheHierarchy uniqueName="[SalesTable].[Customer_City]" caption="Customer_City" attribute="1" defaultMemberUniqueName="[SalesTable].[Customer_City].[All]" allUniqueName="[SalesTable].[Customer_City].[All]" dimensionUniqueName="[SalesTable]" displayFolder="" count="0" memberValueDatatype="130" unbalanced="0"/>
    <cacheHierarchy uniqueName="[SalesTable].[Customer_State]" caption="Customer_State" attribute="1" defaultMemberUniqueName="[SalesTable].[Customer_State].[All]" allUniqueName="[SalesTable].[Customer_State].[All]" dimensionUniqueName="[SalesTable]" displayFolder="" count="0" memberValueDatatype="130" unbalanced="0"/>
    <cacheHierarchy uniqueName="[SalesTable].[Customer_Segment]" caption="Customer_Segment" attribute="1" defaultMemberUniqueName="[SalesTable].[Customer_Segment].[All]" allUniqueName="[SalesTable].[Customer_Segment].[All]" dimensionUniqueName="[SalesTable]" displayFolder="" count="0" memberValueDatatype="130" unbalanced="0"/>
    <cacheHierarchy uniqueName="[SalesTable].[Order_ID]" caption="Order_ID" attribute="1" defaultMemberUniqueName="[SalesTable].[Order_ID].[All]" allUniqueName="[SalesTable].[Order_ID].[All]" dimensionUniqueName="[SalesTable]" displayFolder="" count="0" memberValueDatatype="130" unbalanced="0"/>
    <cacheHierarchy uniqueName="[SalesTable].[Order_Date]" caption="Order_Date" attribute="1" time="1" defaultMemberUniqueName="[SalesTable].[Order_Date].[All]" allUniqueName="[SalesTable].[Order_Date].[All]" dimensionUniqueName="[SalesTable]" displayFolder="" count="2" memberValueDatatype="7" unbalanced="0"/>
    <cacheHierarchy uniqueName="[SalesTable].[Product_ID]" caption="Product_ID" attribute="1" defaultMemberUniqueName="[SalesTable].[Product_ID].[All]" allUniqueName="[SalesTable].[Product_ID].[All]" dimensionUniqueName="[SalesTable]" displayFolder="" count="0" memberValueDatatype="130" unbalanced="0"/>
    <cacheHierarchy uniqueName="[SalesTable].[Product_Name]" caption="Product_Name" attribute="1" defaultMemberUniqueName="[SalesTable].[Product_Name].[All]" allUniqueName="[SalesTable].[Product_Name].[All]" dimensionUniqueName="[SalesTable]" displayFolder="" count="0" memberValueDatatype="130" unbalanced="0"/>
    <cacheHierarchy uniqueName="[SalesTable].[Product_Category]" caption="Product_Category" attribute="1" defaultMemberUniqueName="[SalesTable].[Product_Category].[All]" allUniqueName="[SalesTable].[Product_Category].[All]" dimensionUniqueName="[SalesTable]" displayFolder="" count="0" memberValueDatatype="130" unbalanced="0"/>
    <cacheHierarchy uniqueName="[SalesTable].[Brand]" caption="Brand" attribute="1" defaultMemberUniqueName="[SalesTable].[Brand].[All]" allUniqueName="[SalesTable].[Brand].[All]" dimensionUniqueName="[SalesTable]" displayFolder="" count="0" memberValueDatatype="130" unbalanced="0"/>
    <cacheHierarchy uniqueName="[SalesTable].[Quantity]" caption="Quantity" attribute="1" defaultMemberUniqueName="[SalesTable].[Quantity].[All]" allUniqueName="[SalesTable].[Quantity].[All]" dimensionUniqueName="[SalesTable]" displayFolder="" count="0" memberValueDatatype="20" unbalanced="0"/>
    <cacheHierarchy uniqueName="[SalesTable].[Unit_Price]" caption="Unit_Price" attribute="1" defaultMemberUniqueName="[SalesTable].[Unit_Price].[All]" allUniqueName="[SalesTable].[Unit_Price].[All]" dimensionUniqueName="[SalesTable]" displayFolder="" count="0" memberValueDatatype="20" unbalanced="0"/>
    <cacheHierarchy uniqueName="[SalesTable].[Discount_Percentage]" caption="Discount_Percentage" attribute="1" defaultMemberUniqueName="[SalesTable].[Discount_Percentage].[All]" allUniqueName="[SalesTable].[Discount_Percentage].[All]" dimensionUniqueName="[SalesTable]" displayFolder="" count="0" memberValueDatatype="20" unbalanced="0"/>
    <cacheHierarchy uniqueName="[SalesTable].[Sales_Amount]" caption="Sales_Amount" attribute="1" defaultMemberUniqueName="[SalesTable].[Sales_Amount].[All]" allUniqueName="[SalesTable].[Sales_Amount].[All]" dimensionUniqueName="[SalesTable]" displayFolder="" count="0" memberValueDatatype="5" unbalanced="0"/>
    <cacheHierarchy uniqueName="[SalesTable].[Cost_Amount]" caption="Cost_Amount" attribute="1" defaultMemberUniqueName="[SalesTable].[Cost_Amount].[All]" allUniqueName="[SalesTable].[Cost_Amount].[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Payment_Method]" caption="Payment_Method" attribute="1" defaultMemberUniqueName="[SalesTable].[Payment_Method].[All]" allUniqueName="[SalesTable].[Payment_Method].[All]" dimensionUniqueName="[SalesTable]" displayFolder="" count="0" memberValueDatatype="130" unbalanced="0"/>
    <cacheHierarchy uniqueName="[SalesTable].[Salesperson_ID]" caption="Salesperson_ID" attribute="1" defaultMemberUniqueName="[SalesTable].[Salesperson_ID].[All]" allUniqueName="[SalesTable].[Salesperson_ID].[All]" dimensionUniqueName="[SalesTable]" displayFolder="" count="0" memberValueDatatype="130" unbalanced="0"/>
    <cacheHierarchy uniqueName="[SalesTable].[Salesperson_Name]" caption="Salesperson_Name" attribute="1" defaultMemberUniqueName="[SalesTable].[Salesperson_Name].[All]" allUniqueName="[SalesTable].[Salesperson_Name].[All]" dimensionUniqueName="[SalesTable]" displayFolder="" count="0" memberValueDatatype="130" unbalanced="0"/>
    <cacheHierarchy uniqueName="[SalesTable].[Region]" caption="Region" attribute="1" defaultMemberUniqueName="[SalesTable].[Region].[All]" allUniqueName="[SalesTable].[Region].[All]" dimensionUniqueName="[SalesTable]" displayFolder="" count="0" memberValueDatatype="130" unbalanced="0"/>
    <cacheHierarchy uniqueName="[SalesTable].[Store_Name]" caption="Store_Name" attribute="1" defaultMemberUniqueName="[SalesTable].[Store_Name].[All]" allUniqueName="[SalesTable].[Store_Name].[All]" dimensionUniqueName="[SalesTable]" displayFolder="" count="0" memberValueDatatype="130" unbalanced="0"/>
    <cacheHierarchy uniqueName="[SalesTable].[Delivery_Status]" caption="Delivery_Status" attribute="1" defaultMemberUniqueName="[SalesTable].[Delivery_Status].[All]" allUniqueName="[SalesTable].[Delivery_Status].[All]" dimensionUniqueName="[SalesTable]" displayFolder="" count="0" memberValueDatatype="130" unbalanced="0"/>
    <cacheHierarchy uniqueName="[SalesTable].[Return_Status]" caption="Return_Status" attribute="1" defaultMemberUniqueName="[SalesTable].[Return_Status].[All]" allUniqueName="[SalesTable].[Return_Status].[All]" dimensionUniqueName="[SalesTable]" displayFolder="" count="0" memberValueDatatype="130" unbalanced="0"/>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Sales_Amount]" caption="Sum of Sales_Amount" measure="1" displayFolder="" measureGroup="SalesTable"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SalesTable"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Table" count="0" hidden="1">
      <extLst>
        <ext xmlns:x15="http://schemas.microsoft.com/office/spreadsheetml/2010/11/main" uri="{B97F6D7D-B522-45F9-BDA1-12C45D357490}">
          <x15:cacheHierarchy aggregatedColumn="11"/>
        </ext>
      </extLst>
    </cacheHierarchy>
    <cacheHierarchy uniqueName="[Measures].[Sum of Discount_Percentage]" caption="Sum of Discount_Percentage" measure="1" displayFolder="" measureGroup="SalesTable"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pivotCacheId="11479264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D61059-4B86-4A61-90F4-1E09D4D05D4C}" name="product_category" cacheId="1"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
  <location ref="A43:D50"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3">
    <i>
      <x/>
    </i>
    <i i="1">
      <x v="1"/>
    </i>
    <i i="2">
      <x v="2"/>
    </i>
  </colItems>
  <dataFields count="3">
    <dataField name="Sum of Quantity" fld="1" baseField="0" baseItem="0"/>
    <dataField name="Sum of Discount_Percentage" fld="2" baseField="0" baseItem="0"/>
    <dataField name="Sum of Sales_Amount" fld="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44.xlsx!SalesTable">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561D78-C0BA-4AD1-A1D4-B5D36CCBC52B}" name="segment_details" cacheId="2"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2">
  <location ref="A30:C34"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2"/>
  </colFields>
  <colItems count="2">
    <i>
      <x/>
    </i>
    <i i="1">
      <x v="1"/>
    </i>
  </colItems>
  <dataFields count="2">
    <dataField name="Sum of Profit" fld="0" baseField="0" baseItem="0"/>
    <dataField name="Sum of Sales_Amount" fld="1"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1"/>
          </reference>
          <reference field="2" count="1" selected="0">
            <x v="0"/>
          </reference>
        </references>
      </pivotArea>
    </chartFormat>
    <chartFormat chart="1" format="6">
      <pivotArea type="data" outline="0" fieldPosition="0">
        <references count="2">
          <reference field="4294967294" count="1" selected="0">
            <x v="1"/>
          </reference>
          <reference field="2" count="1" selected="0">
            <x v="1"/>
          </reference>
        </references>
      </pivotArea>
    </chartFormat>
    <chartFormat chart="1" format="7">
      <pivotArea type="data" outline="0" fieldPosition="0">
        <references count="2">
          <reference field="4294967294" count="1" selected="0">
            <x v="1"/>
          </reference>
          <reference field="2"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44.xlsx!SalesTable">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36F597-EFBB-4EE5-8CD8-D48E5F309C39}" name="state_details" cacheId="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
  <location ref="A17:C27" firstHeaderRow="0"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s>
  <rowFields count="1">
    <field x="0"/>
  </rowFields>
  <rowItems count="10">
    <i>
      <x/>
    </i>
    <i>
      <x v="1"/>
    </i>
    <i>
      <x v="2"/>
    </i>
    <i>
      <x v="3"/>
    </i>
    <i>
      <x v="4"/>
    </i>
    <i>
      <x v="5"/>
    </i>
    <i>
      <x v="6"/>
    </i>
    <i>
      <x v="7"/>
    </i>
    <i>
      <x v="8"/>
    </i>
    <i t="grand">
      <x/>
    </i>
  </rowItems>
  <colFields count="1">
    <field x="-2"/>
  </colFields>
  <colItems count="2">
    <i>
      <x/>
    </i>
    <i i="1">
      <x v="1"/>
    </i>
  </colItems>
  <dataFields count="2">
    <dataField name="Sum of Profit" fld="1" baseField="0" baseItem="0"/>
    <dataField name="Sum of Sales_Amount"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44.xlsx!SalesTable">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7612D3-4751-45A8-A120-453FC6E4DA93}" name="PivotTable1" cacheId="0"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
  <location ref="A4:B14" firstHeaderRow="1" firstDataRow="1" firstDataCol="1" rowPageCount="1" colPageCount="1"/>
  <pivotFields count="3">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9">
        <item x="0"/>
        <item x="1"/>
        <item x="2"/>
        <item x="3"/>
        <item x="4"/>
        <item x="5"/>
        <item x="6"/>
        <item x="7"/>
        <item x="8"/>
      </items>
    </pivotField>
  </pivotFields>
  <rowFields count="1">
    <field x="2"/>
  </rowFields>
  <rowItems count="10">
    <i>
      <x/>
    </i>
    <i>
      <x v="1"/>
    </i>
    <i>
      <x v="2"/>
    </i>
    <i>
      <x v="3"/>
    </i>
    <i>
      <x v="4"/>
    </i>
    <i>
      <x v="5"/>
    </i>
    <i>
      <x v="6"/>
    </i>
    <i>
      <x v="7"/>
    </i>
    <i>
      <x v="8"/>
    </i>
    <i t="grand">
      <x/>
    </i>
  </rowItems>
  <colItems count="1">
    <i/>
  </colItems>
  <pageFields count="1">
    <pageField fld="1" hier="10" name="[SalesTable].[Brand].[All]" cap="All"/>
  </pageFields>
  <dataFields count="1">
    <dataField name="Sum of Sales_Amount"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44.xlsx!SalesTable">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365398E-8E07-45DA-959D-4FBF5362D3EA}" sourceName="[SalesTable].[Brand]">
  <pivotTables>
    <pivotTable tabId="2" name="product_category"/>
    <pivotTable tabId="2" name="state_details"/>
    <pivotTable tabId="2" name="segment_details"/>
    <pivotTable tabId="2" name="PivotTable1"/>
  </pivotTables>
  <data>
    <olap pivotCacheId="395200749">
      <levels count="2">
        <level uniqueName="[SalesTable].[Brand].[(All)]" sourceCaption="(All)" count="0"/>
        <level uniqueName="[SalesTable].[Brand].[Brand]" sourceCaption="Brand" count="10">
          <ranges>
            <range startItem="0">
              <i n="[SalesTable].[Brand].&amp;[Adidas]" c="Adidas"/>
              <i n="[SalesTable].[Brand].&amp;[Boat]" c="Boat"/>
              <i n="[SalesTable].[Brand].&amp;[HP]" c="HP"/>
              <i n="[SalesTable].[Brand].&amp;[LG]" c="LG"/>
              <i n="[SalesTable].[Brand].&amp;[Nike]" c="Nike"/>
              <i n="[SalesTable].[Brand].&amp;[Nilkamal]" c="Nilkamal"/>
              <i n="[SalesTable].[Brand].&amp;[Philips]" c="Philips"/>
              <i n="[SalesTable].[Brand].&amp;[Prestige]" c="Prestige"/>
              <i n="[SalesTable].[Brand].&amp;[Puma]" c="Puma"/>
              <i n="[SalesTable].[Brand].&amp;[Tata]" c="Tata"/>
            </range>
          </ranges>
        </level>
      </levels>
      <selections count="1">
        <selection n="[SalesTable].[Bran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D7D6E6D-6A1C-4746-9E28-2A852F41594E}" sourceName="[SalesTable].[Payment_Method]">
  <pivotTables>
    <pivotTable tabId="2" name="PivotTable1"/>
    <pivotTable tabId="2" name="product_category"/>
    <pivotTable tabId="2" name="state_details"/>
    <pivotTable tabId="2" name="segment_details"/>
  </pivotTables>
  <data>
    <olap pivotCacheId="395200749">
      <levels count="2">
        <level uniqueName="[SalesTable].[Payment_Method].[(All)]" sourceCaption="(All)" count="0"/>
        <level uniqueName="[SalesTable].[Payment_Method].[Payment_Method]" sourceCaption="Payment_Method" count="5">
          <ranges>
            <range startItem="0">
              <i n="[SalesTable].[Payment_Method].&amp;[Cash]" c="Cash"/>
              <i n="[SalesTable].[Payment_Method].&amp;[Credit Card]" c="Credit Card"/>
              <i n="[SalesTable].[Payment_Method].&amp;[Debit Card]" c="Debit Card"/>
              <i n="[SalesTable].[Payment_Method].&amp;[Net Banking]" c="Net Banking"/>
              <i n="[SalesTable].[Payment_Method].&amp;[UPI]" c="UPI"/>
            </range>
          </ranges>
        </level>
      </levels>
      <selections count="1">
        <selection n="[SalesTable].[Payment_Metho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29AEE2-69DA-4452-BE7D-37BE24E081D1}" sourceName="[SalesTable].[Region]">
  <pivotTables>
    <pivotTable tabId="2" name="PivotTable1"/>
    <pivotTable tabId="2" name="product_category"/>
    <pivotTable tabId="2" name="state_details"/>
    <pivotTable tabId="2" name="segment_details"/>
  </pivotTables>
  <data>
    <olap pivotCacheId="395200749">
      <levels count="2">
        <level uniqueName="[SalesTable].[Region].[(All)]" sourceCaption="(All)" count="0"/>
        <level uniqueName="[SalesTable].[Region].[Region]" sourceCaption="Region" count="4">
          <ranges>
            <range startItem="0">
              <i n="[SalesTable].[Region].&amp;[East]" c="East"/>
              <i n="[SalesTable].[Region].&amp;[North]" c="North"/>
              <i n="[SalesTable].[Region].&amp;[South]" c="South"/>
              <i n="[SalesTable].[Region].&amp;[West]" c="West"/>
            </range>
          </ranges>
        </level>
      </levels>
      <selections count="1">
        <selection n="[SalesTabl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FFED48E5-57DB-48FA-B541-19359A5D8101}" cache="Slicer_Brand" caption="Brand" startItem="2" level="1" style="SlicerStyleLight4" rowHeight="241300"/>
  <slicer name="Payment_Method" xr10:uid="{E0B913F0-C5B3-496E-94DD-79B7F8790267}" cache="Slicer_Payment_Method" caption="Payment_Method" level="1" style="SlicerStyleLight4" rowHeight="241300"/>
  <slicer name="Region" xr10:uid="{DDD4E1C5-27DD-4A84-8EE9-8FBA05E52997}" cache="Slicer_Region" caption="Region" level="1"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Table" displayName="SalesTable" ref="A1:X101">
  <autoFilter ref="A1:X101" xr:uid="{00000000-0009-0000-0100-000001000000}"/>
  <tableColumns count="24">
    <tableColumn id="1" xr3:uid="{00000000-0010-0000-0000-000001000000}" name="Column1"/>
    <tableColumn id="2" xr3:uid="{00000000-0010-0000-0000-000002000000}" name="Customer_Name"/>
    <tableColumn id="3" xr3:uid="{00000000-0010-0000-0000-000003000000}" name="Customer_City"/>
    <tableColumn id="4" xr3:uid="{00000000-0010-0000-0000-000004000000}" name="Customer_State"/>
    <tableColumn id="5" xr3:uid="{00000000-0010-0000-0000-000005000000}" name="Customer_Segment"/>
    <tableColumn id="6" xr3:uid="{00000000-0010-0000-0000-000006000000}" name="Order_ID"/>
    <tableColumn id="7" xr3:uid="{00000000-0010-0000-0000-000007000000}" name="Order_Date"/>
    <tableColumn id="8" xr3:uid="{00000000-0010-0000-0000-000008000000}" name="Product_ID"/>
    <tableColumn id="9" xr3:uid="{00000000-0010-0000-0000-000009000000}" name="Product_Name"/>
    <tableColumn id="10" xr3:uid="{00000000-0010-0000-0000-00000A000000}" name="Product_Category"/>
    <tableColumn id="11" xr3:uid="{00000000-0010-0000-0000-00000B000000}" name="Brand"/>
    <tableColumn id="12" xr3:uid="{00000000-0010-0000-0000-00000C000000}" name="Quantity"/>
    <tableColumn id="13" xr3:uid="{00000000-0010-0000-0000-00000D000000}" name="Unit_Price"/>
    <tableColumn id="14" xr3:uid="{00000000-0010-0000-0000-00000E000000}" name="Discount_Percentage"/>
    <tableColumn id="15" xr3:uid="{00000000-0010-0000-0000-00000F000000}" name="Sales_Amount"/>
    <tableColumn id="16" xr3:uid="{00000000-0010-0000-0000-000010000000}" name="Cost_Amount"/>
    <tableColumn id="17" xr3:uid="{00000000-0010-0000-0000-000011000000}" name="Profit"/>
    <tableColumn id="18" xr3:uid="{00000000-0010-0000-0000-000012000000}" name="Payment_Method"/>
    <tableColumn id="19" xr3:uid="{00000000-0010-0000-0000-000013000000}" name="Salesperson_ID"/>
    <tableColumn id="20" xr3:uid="{00000000-0010-0000-0000-000014000000}" name="Salesperson_Name"/>
    <tableColumn id="21" xr3:uid="{00000000-0010-0000-0000-000015000000}" name="Region"/>
    <tableColumn id="22" xr3:uid="{00000000-0010-0000-0000-000016000000}" name="Store_Name"/>
    <tableColumn id="23" xr3:uid="{00000000-0010-0000-0000-000017000000}" name="Delivery_Status"/>
    <tableColumn id="24" xr3:uid="{00000000-0010-0000-0000-000018000000}" name="Return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C476B75-313D-47E3-AD57-AB027D4B35F5}" sourceName="[SalesTable].[Order_Date]">
  <pivotTables>
    <pivotTable tabId="2" name="PivotTable1"/>
    <pivotTable tabId="2" name="product_category"/>
    <pivotTable tabId="2" name="segment_details"/>
    <pivotTable tabId="2" name="state_details"/>
  </pivotTables>
  <state minimalRefreshVersion="6" lastRefreshVersion="6" pivotCacheId="1147926438"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105041E-5EFB-44B0-92CA-D41C25D879BD}" cache="Timeline_Order_Date" caption="Order_Date" level="2" selectionLevel="2" scrollPosition="2026-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1"/>
  <sheetViews>
    <sheetView zoomScale="90" workbookViewId="0">
      <pane ySplit="1" topLeftCell="A2" activePane="bottomLeft" state="frozen"/>
      <selection pane="bottomLeft" sqref="A1:X101"/>
    </sheetView>
  </sheetViews>
  <sheetFormatPr defaultRowHeight="15" x14ac:dyDescent="0.25"/>
  <cols>
    <col min="1" max="1" width="13" customWidth="1"/>
    <col min="2" max="2" width="17" customWidth="1"/>
    <col min="3" max="3" width="15" customWidth="1"/>
    <col min="4" max="4" width="16" customWidth="1"/>
    <col min="5" max="5" width="18" customWidth="1"/>
    <col min="6" max="6" width="10" customWidth="1"/>
    <col min="7" max="7" width="14" customWidth="1"/>
    <col min="8" max="8" width="12" customWidth="1"/>
    <col min="9" max="9" width="19" customWidth="1"/>
    <col min="10" max="10" width="18" customWidth="1"/>
    <col min="11" max="12" width="10" customWidth="1"/>
    <col min="13" max="13" width="12" customWidth="1"/>
    <col min="14" max="14" width="6.5703125" customWidth="1"/>
    <col min="15" max="15" width="14" customWidth="1"/>
    <col min="16" max="16" width="13" customWidth="1"/>
    <col min="17" max="17" width="15" customWidth="1"/>
    <col min="18" max="19" width="16" customWidth="1"/>
    <col min="20" max="20" width="18" customWidth="1"/>
    <col min="21" max="21" width="8" customWidth="1"/>
    <col min="22" max="23" width="17" customWidth="1"/>
    <col min="24" max="24" width="15" customWidth="1"/>
  </cols>
  <sheetData>
    <row r="1" spans="1:24" x14ac:dyDescent="0.25">
      <c r="A1" t="s">
        <v>453</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row>
    <row r="2" spans="1:24" x14ac:dyDescent="0.25">
      <c r="A2" t="s">
        <v>23</v>
      </c>
      <c r="B2" t="s">
        <v>24</v>
      </c>
      <c r="C2" t="s">
        <v>25</v>
      </c>
      <c r="D2" t="s">
        <v>26</v>
      </c>
      <c r="E2" t="s">
        <v>27</v>
      </c>
      <c r="F2" t="s">
        <v>28</v>
      </c>
      <c r="G2" s="1">
        <v>45890</v>
      </c>
      <c r="H2" t="s">
        <v>29</v>
      </c>
      <c r="I2" t="s">
        <v>30</v>
      </c>
      <c r="J2" t="s">
        <v>31</v>
      </c>
      <c r="K2" t="s">
        <v>32</v>
      </c>
      <c r="L2" s="2">
        <v>20</v>
      </c>
      <c r="M2" s="2">
        <v>49810</v>
      </c>
      <c r="N2">
        <v>24</v>
      </c>
      <c r="O2" s="2">
        <v>757112</v>
      </c>
      <c r="P2" s="2">
        <v>501855.6</v>
      </c>
      <c r="Q2" s="2">
        <v>255256.4</v>
      </c>
      <c r="R2" t="s">
        <v>33</v>
      </c>
      <c r="S2" t="s">
        <v>34</v>
      </c>
      <c r="T2" t="s">
        <v>35</v>
      </c>
      <c r="U2" t="s">
        <v>36</v>
      </c>
      <c r="V2" t="s">
        <v>37</v>
      </c>
      <c r="W2" t="s">
        <v>38</v>
      </c>
      <c r="X2" t="s">
        <v>39</v>
      </c>
    </row>
    <row r="3" spans="1:24" x14ac:dyDescent="0.25">
      <c r="A3" t="s">
        <v>40</v>
      </c>
      <c r="B3" t="s">
        <v>41</v>
      </c>
      <c r="C3" t="s">
        <v>42</v>
      </c>
      <c r="D3" t="s">
        <v>26</v>
      </c>
      <c r="E3" t="s">
        <v>27</v>
      </c>
      <c r="F3" t="s">
        <v>43</v>
      </c>
      <c r="G3" s="1">
        <v>45946</v>
      </c>
      <c r="H3" t="s">
        <v>44</v>
      </c>
      <c r="I3" t="s">
        <v>45</v>
      </c>
      <c r="J3" t="s">
        <v>46</v>
      </c>
      <c r="K3" t="s">
        <v>47</v>
      </c>
      <c r="L3" s="2">
        <v>5</v>
      </c>
      <c r="M3" s="2">
        <v>4906</v>
      </c>
      <c r="N3">
        <v>8</v>
      </c>
      <c r="O3" s="2">
        <v>22567.599999999999</v>
      </c>
      <c r="P3" s="2">
        <v>14913.63</v>
      </c>
      <c r="Q3" s="2">
        <v>7653.97</v>
      </c>
      <c r="R3" t="s">
        <v>33</v>
      </c>
      <c r="S3" t="s">
        <v>48</v>
      </c>
      <c r="T3" t="s">
        <v>49</v>
      </c>
      <c r="U3" t="s">
        <v>36</v>
      </c>
      <c r="V3" t="s">
        <v>50</v>
      </c>
      <c r="W3" t="s">
        <v>38</v>
      </c>
      <c r="X3" t="s">
        <v>51</v>
      </c>
    </row>
    <row r="4" spans="1:24" x14ac:dyDescent="0.25">
      <c r="A4" t="s">
        <v>52</v>
      </c>
      <c r="B4" t="s">
        <v>53</v>
      </c>
      <c r="C4" t="s">
        <v>54</v>
      </c>
      <c r="D4" t="s">
        <v>55</v>
      </c>
      <c r="E4" t="s">
        <v>56</v>
      </c>
      <c r="F4" t="s">
        <v>57</v>
      </c>
      <c r="G4" s="1">
        <v>46036</v>
      </c>
      <c r="H4" t="s">
        <v>58</v>
      </c>
      <c r="I4" t="s">
        <v>59</v>
      </c>
      <c r="J4" t="s">
        <v>60</v>
      </c>
      <c r="K4" t="s">
        <v>61</v>
      </c>
      <c r="L4" s="2">
        <v>20</v>
      </c>
      <c r="M4" s="2">
        <v>15065</v>
      </c>
      <c r="N4">
        <v>2</v>
      </c>
      <c r="O4" s="2">
        <v>295274</v>
      </c>
      <c r="P4" s="2">
        <v>175581.93</v>
      </c>
      <c r="Q4" s="2">
        <v>119692.07</v>
      </c>
      <c r="R4" t="s">
        <v>62</v>
      </c>
      <c r="S4" t="s">
        <v>63</v>
      </c>
      <c r="T4" t="s">
        <v>64</v>
      </c>
      <c r="U4" t="s">
        <v>65</v>
      </c>
      <c r="V4" t="s">
        <v>66</v>
      </c>
      <c r="W4" t="s">
        <v>67</v>
      </c>
      <c r="X4" t="s">
        <v>51</v>
      </c>
    </row>
    <row r="5" spans="1:24" x14ac:dyDescent="0.25">
      <c r="A5" t="s">
        <v>68</v>
      </c>
      <c r="B5" t="s">
        <v>69</v>
      </c>
      <c r="C5" t="s">
        <v>70</v>
      </c>
      <c r="D5" t="s">
        <v>71</v>
      </c>
      <c r="E5" t="s">
        <v>27</v>
      </c>
      <c r="F5" t="s">
        <v>72</v>
      </c>
      <c r="G5" s="1">
        <v>45705</v>
      </c>
      <c r="H5" t="s">
        <v>73</v>
      </c>
      <c r="I5" t="s">
        <v>74</v>
      </c>
      <c r="J5" t="s">
        <v>60</v>
      </c>
      <c r="K5" t="s">
        <v>75</v>
      </c>
      <c r="L5" s="2">
        <v>13</v>
      </c>
      <c r="M5" s="2">
        <v>11759</v>
      </c>
      <c r="N5">
        <v>29</v>
      </c>
      <c r="O5" s="2">
        <v>108535.57</v>
      </c>
      <c r="P5" s="2">
        <v>88120.13</v>
      </c>
      <c r="Q5" s="2">
        <v>20415.439999999999</v>
      </c>
      <c r="R5" t="s">
        <v>76</v>
      </c>
      <c r="S5" t="s">
        <v>77</v>
      </c>
      <c r="T5" t="s">
        <v>78</v>
      </c>
      <c r="U5" t="s">
        <v>36</v>
      </c>
      <c r="V5" t="s">
        <v>79</v>
      </c>
      <c r="W5" t="s">
        <v>80</v>
      </c>
      <c r="X5" t="s">
        <v>51</v>
      </c>
    </row>
    <row r="6" spans="1:24" x14ac:dyDescent="0.25">
      <c r="A6" t="s">
        <v>81</v>
      </c>
      <c r="B6" t="s">
        <v>82</v>
      </c>
      <c r="C6" t="s">
        <v>25</v>
      </c>
      <c r="D6" t="s">
        <v>26</v>
      </c>
      <c r="E6" t="s">
        <v>56</v>
      </c>
      <c r="F6" t="s">
        <v>83</v>
      </c>
      <c r="G6" s="1">
        <v>45789</v>
      </c>
      <c r="H6" t="s">
        <v>84</v>
      </c>
      <c r="I6" t="s">
        <v>85</v>
      </c>
      <c r="J6" t="s">
        <v>86</v>
      </c>
      <c r="K6" t="s">
        <v>87</v>
      </c>
      <c r="L6" s="2">
        <v>16</v>
      </c>
      <c r="M6" s="2">
        <v>12634</v>
      </c>
      <c r="N6">
        <v>19</v>
      </c>
      <c r="O6" s="2">
        <v>163736.64000000001</v>
      </c>
      <c r="P6" s="2">
        <v>125256.47</v>
      </c>
      <c r="Q6" s="2">
        <v>38480.17</v>
      </c>
      <c r="R6" t="s">
        <v>88</v>
      </c>
      <c r="S6" t="s">
        <v>89</v>
      </c>
      <c r="T6" t="s">
        <v>90</v>
      </c>
      <c r="U6" t="s">
        <v>36</v>
      </c>
      <c r="V6" t="s">
        <v>37</v>
      </c>
      <c r="W6" t="s">
        <v>91</v>
      </c>
      <c r="X6" t="s">
        <v>51</v>
      </c>
    </row>
    <row r="7" spans="1:24" x14ac:dyDescent="0.25">
      <c r="A7" t="s">
        <v>92</v>
      </c>
      <c r="B7" t="s">
        <v>93</v>
      </c>
      <c r="C7" t="s">
        <v>25</v>
      </c>
      <c r="D7" t="s">
        <v>26</v>
      </c>
      <c r="E7" t="s">
        <v>94</v>
      </c>
      <c r="F7" t="s">
        <v>95</v>
      </c>
      <c r="G7" s="1">
        <v>45701</v>
      </c>
      <c r="H7" t="s">
        <v>96</v>
      </c>
      <c r="I7" t="s">
        <v>97</v>
      </c>
      <c r="J7" t="s">
        <v>98</v>
      </c>
      <c r="K7" t="s">
        <v>99</v>
      </c>
      <c r="L7" s="2">
        <v>7</v>
      </c>
      <c r="M7" s="2">
        <v>47382</v>
      </c>
      <c r="N7">
        <v>4</v>
      </c>
      <c r="O7" s="2">
        <v>318407.03999999998</v>
      </c>
      <c r="P7" s="2">
        <v>181232.87</v>
      </c>
      <c r="Q7" s="2">
        <v>137174.17000000001</v>
      </c>
      <c r="R7" t="s">
        <v>88</v>
      </c>
      <c r="S7" t="s">
        <v>100</v>
      </c>
      <c r="T7" t="s">
        <v>101</v>
      </c>
      <c r="U7" t="s">
        <v>36</v>
      </c>
      <c r="V7" t="s">
        <v>37</v>
      </c>
      <c r="W7" t="s">
        <v>80</v>
      </c>
      <c r="X7" t="s">
        <v>51</v>
      </c>
    </row>
    <row r="8" spans="1:24" x14ac:dyDescent="0.25">
      <c r="A8" t="s">
        <v>102</v>
      </c>
      <c r="B8" t="s">
        <v>103</v>
      </c>
      <c r="C8" t="s">
        <v>104</v>
      </c>
      <c r="D8" t="s">
        <v>105</v>
      </c>
      <c r="E8" t="s">
        <v>27</v>
      </c>
      <c r="F8" t="s">
        <v>106</v>
      </c>
      <c r="G8" s="1">
        <v>45886</v>
      </c>
      <c r="H8" t="s">
        <v>107</v>
      </c>
      <c r="I8" t="s">
        <v>108</v>
      </c>
      <c r="J8" t="s">
        <v>109</v>
      </c>
      <c r="K8" t="s">
        <v>47</v>
      </c>
      <c r="L8" s="2">
        <v>5</v>
      </c>
      <c r="M8" s="2">
        <v>20757</v>
      </c>
      <c r="N8">
        <v>19</v>
      </c>
      <c r="O8" s="2">
        <v>84065.85</v>
      </c>
      <c r="P8" s="2">
        <v>42791.75</v>
      </c>
      <c r="Q8" s="2">
        <v>41274.1</v>
      </c>
      <c r="R8" t="s">
        <v>110</v>
      </c>
      <c r="S8" t="s">
        <v>111</v>
      </c>
      <c r="T8" t="s">
        <v>112</v>
      </c>
      <c r="U8" t="s">
        <v>113</v>
      </c>
      <c r="V8" t="s">
        <v>114</v>
      </c>
      <c r="W8" t="s">
        <v>38</v>
      </c>
      <c r="X8" t="s">
        <v>51</v>
      </c>
    </row>
    <row r="9" spans="1:24" x14ac:dyDescent="0.25">
      <c r="A9" t="s">
        <v>115</v>
      </c>
      <c r="B9" t="s">
        <v>116</v>
      </c>
      <c r="C9" t="s">
        <v>104</v>
      </c>
      <c r="D9" t="s">
        <v>105</v>
      </c>
      <c r="E9" t="s">
        <v>27</v>
      </c>
      <c r="F9" t="s">
        <v>117</v>
      </c>
      <c r="G9" s="1">
        <v>46005</v>
      </c>
      <c r="H9" t="s">
        <v>118</v>
      </c>
      <c r="I9" t="s">
        <v>119</v>
      </c>
      <c r="J9" t="s">
        <v>98</v>
      </c>
      <c r="K9" t="s">
        <v>120</v>
      </c>
      <c r="L9" s="2">
        <v>16</v>
      </c>
      <c r="M9" s="2">
        <v>44887</v>
      </c>
      <c r="N9">
        <v>15</v>
      </c>
      <c r="O9" s="2">
        <v>610463.19999999995</v>
      </c>
      <c r="P9" s="2">
        <v>496900.57</v>
      </c>
      <c r="Q9" s="2">
        <v>113562.63</v>
      </c>
      <c r="R9" t="s">
        <v>33</v>
      </c>
      <c r="S9" t="s">
        <v>121</v>
      </c>
      <c r="T9" t="s">
        <v>122</v>
      </c>
      <c r="U9" t="s">
        <v>113</v>
      </c>
      <c r="V9" t="s">
        <v>114</v>
      </c>
      <c r="W9" t="s">
        <v>80</v>
      </c>
      <c r="X9" t="s">
        <v>51</v>
      </c>
    </row>
    <row r="10" spans="1:24" x14ac:dyDescent="0.25">
      <c r="A10" t="s">
        <v>123</v>
      </c>
      <c r="B10" t="s">
        <v>124</v>
      </c>
      <c r="C10" t="s">
        <v>42</v>
      </c>
      <c r="D10" t="s">
        <v>26</v>
      </c>
      <c r="E10" t="s">
        <v>27</v>
      </c>
      <c r="F10" t="s">
        <v>125</v>
      </c>
      <c r="G10" s="1">
        <v>45664</v>
      </c>
      <c r="H10" t="s">
        <v>126</v>
      </c>
      <c r="I10" t="s">
        <v>127</v>
      </c>
      <c r="J10" t="s">
        <v>98</v>
      </c>
      <c r="K10" t="s">
        <v>47</v>
      </c>
      <c r="L10" s="2">
        <v>4</v>
      </c>
      <c r="M10" s="2">
        <v>38553</v>
      </c>
      <c r="N10">
        <v>9</v>
      </c>
      <c r="O10" s="2">
        <v>140332.92000000001</v>
      </c>
      <c r="P10" s="2">
        <v>88610.78</v>
      </c>
      <c r="Q10" s="2">
        <v>51722.14</v>
      </c>
      <c r="R10" t="s">
        <v>76</v>
      </c>
      <c r="S10" t="s">
        <v>128</v>
      </c>
      <c r="T10" t="s">
        <v>129</v>
      </c>
      <c r="U10" t="s">
        <v>36</v>
      </c>
      <c r="V10" t="s">
        <v>50</v>
      </c>
      <c r="W10" t="s">
        <v>91</v>
      </c>
      <c r="X10" t="s">
        <v>39</v>
      </c>
    </row>
    <row r="11" spans="1:24" x14ac:dyDescent="0.25">
      <c r="A11" t="s">
        <v>130</v>
      </c>
      <c r="B11" t="s">
        <v>131</v>
      </c>
      <c r="C11" t="s">
        <v>42</v>
      </c>
      <c r="D11" t="s">
        <v>26</v>
      </c>
      <c r="E11" t="s">
        <v>94</v>
      </c>
      <c r="F11" t="s">
        <v>132</v>
      </c>
      <c r="G11" s="1">
        <v>45812</v>
      </c>
      <c r="H11" t="s">
        <v>133</v>
      </c>
      <c r="I11" t="s">
        <v>134</v>
      </c>
      <c r="J11" t="s">
        <v>60</v>
      </c>
      <c r="K11" t="s">
        <v>135</v>
      </c>
      <c r="L11" s="2">
        <v>12</v>
      </c>
      <c r="M11" s="2">
        <v>41616</v>
      </c>
      <c r="N11">
        <v>8</v>
      </c>
      <c r="O11" s="2">
        <v>459440.64000000001</v>
      </c>
      <c r="P11" s="2">
        <v>344826.44</v>
      </c>
      <c r="Q11" s="2">
        <v>114614.2</v>
      </c>
      <c r="R11" t="s">
        <v>62</v>
      </c>
      <c r="S11" t="s">
        <v>136</v>
      </c>
      <c r="T11" t="s">
        <v>137</v>
      </c>
      <c r="U11" t="s">
        <v>36</v>
      </c>
      <c r="V11" t="s">
        <v>50</v>
      </c>
      <c r="W11" t="s">
        <v>38</v>
      </c>
      <c r="X11" t="s">
        <v>51</v>
      </c>
    </row>
    <row r="12" spans="1:24" x14ac:dyDescent="0.25">
      <c r="A12" t="s">
        <v>138</v>
      </c>
      <c r="B12" t="s">
        <v>139</v>
      </c>
      <c r="C12" t="s">
        <v>25</v>
      </c>
      <c r="D12" t="s">
        <v>26</v>
      </c>
      <c r="E12" t="s">
        <v>27</v>
      </c>
      <c r="F12" t="s">
        <v>140</v>
      </c>
      <c r="G12" s="1">
        <v>46162</v>
      </c>
      <c r="H12" t="s">
        <v>126</v>
      </c>
      <c r="I12" t="s">
        <v>127</v>
      </c>
      <c r="J12" t="s">
        <v>98</v>
      </c>
      <c r="K12" t="s">
        <v>47</v>
      </c>
      <c r="L12" s="2">
        <v>17</v>
      </c>
      <c r="M12" s="2">
        <v>39421</v>
      </c>
      <c r="N12">
        <v>1</v>
      </c>
      <c r="O12" s="2">
        <v>663455.43000000005</v>
      </c>
      <c r="P12" s="2">
        <v>504076.22</v>
      </c>
      <c r="Q12" s="2">
        <v>159379.21</v>
      </c>
      <c r="R12" t="s">
        <v>110</v>
      </c>
      <c r="S12" t="s">
        <v>34</v>
      </c>
      <c r="T12" t="s">
        <v>35</v>
      </c>
      <c r="U12" t="s">
        <v>36</v>
      </c>
      <c r="V12" t="s">
        <v>37</v>
      </c>
      <c r="W12" t="s">
        <v>38</v>
      </c>
      <c r="X12" t="s">
        <v>51</v>
      </c>
    </row>
    <row r="13" spans="1:24" x14ac:dyDescent="0.25">
      <c r="A13" t="s">
        <v>141</v>
      </c>
      <c r="B13" t="s">
        <v>142</v>
      </c>
      <c r="C13" t="s">
        <v>42</v>
      </c>
      <c r="D13" t="s">
        <v>26</v>
      </c>
      <c r="E13" t="s">
        <v>27</v>
      </c>
      <c r="F13" t="s">
        <v>143</v>
      </c>
      <c r="G13" s="1">
        <v>45687</v>
      </c>
      <c r="H13" t="s">
        <v>126</v>
      </c>
      <c r="I13" t="s">
        <v>127</v>
      </c>
      <c r="J13" t="s">
        <v>98</v>
      </c>
      <c r="K13" t="s">
        <v>47</v>
      </c>
      <c r="L13" s="2">
        <v>3</v>
      </c>
      <c r="M13" s="2">
        <v>36979</v>
      </c>
      <c r="N13">
        <v>1</v>
      </c>
      <c r="O13" s="2">
        <v>109827.63</v>
      </c>
      <c r="P13" s="2">
        <v>57283.57</v>
      </c>
      <c r="Q13" s="2">
        <v>52544.06</v>
      </c>
      <c r="R13" t="s">
        <v>76</v>
      </c>
      <c r="S13" t="s">
        <v>48</v>
      </c>
      <c r="T13" t="s">
        <v>49</v>
      </c>
      <c r="U13" t="s">
        <v>36</v>
      </c>
      <c r="V13" t="s">
        <v>50</v>
      </c>
      <c r="W13" t="s">
        <v>91</v>
      </c>
      <c r="X13" t="s">
        <v>39</v>
      </c>
    </row>
    <row r="14" spans="1:24" x14ac:dyDescent="0.25">
      <c r="A14" t="s">
        <v>144</v>
      </c>
      <c r="B14" t="s">
        <v>145</v>
      </c>
      <c r="C14" t="s">
        <v>42</v>
      </c>
      <c r="D14" t="s">
        <v>26</v>
      </c>
      <c r="E14" t="s">
        <v>56</v>
      </c>
      <c r="F14" t="s">
        <v>146</v>
      </c>
      <c r="G14" s="1">
        <v>45857</v>
      </c>
      <c r="H14" t="s">
        <v>133</v>
      </c>
      <c r="I14" t="s">
        <v>134</v>
      </c>
      <c r="J14" t="s">
        <v>60</v>
      </c>
      <c r="K14" t="s">
        <v>135</v>
      </c>
      <c r="L14" s="2">
        <v>4</v>
      </c>
      <c r="M14" s="2">
        <v>16229</v>
      </c>
      <c r="N14">
        <v>8</v>
      </c>
      <c r="O14" s="2">
        <v>59722.720000000001</v>
      </c>
      <c r="P14" s="2">
        <v>46485.2</v>
      </c>
      <c r="Q14" s="2">
        <v>13237.52</v>
      </c>
      <c r="R14" t="s">
        <v>33</v>
      </c>
      <c r="S14" t="s">
        <v>63</v>
      </c>
      <c r="T14" t="s">
        <v>64</v>
      </c>
      <c r="U14" t="s">
        <v>36</v>
      </c>
      <c r="V14" t="s">
        <v>50</v>
      </c>
      <c r="W14" t="s">
        <v>38</v>
      </c>
      <c r="X14" t="s">
        <v>51</v>
      </c>
    </row>
    <row r="15" spans="1:24" x14ac:dyDescent="0.25">
      <c r="A15" t="s">
        <v>147</v>
      </c>
      <c r="B15" t="s">
        <v>148</v>
      </c>
      <c r="C15" t="s">
        <v>149</v>
      </c>
      <c r="D15" t="s">
        <v>149</v>
      </c>
      <c r="E15" t="s">
        <v>56</v>
      </c>
      <c r="F15" t="s">
        <v>150</v>
      </c>
      <c r="G15" s="1">
        <v>46118</v>
      </c>
      <c r="H15" t="s">
        <v>126</v>
      </c>
      <c r="I15" t="s">
        <v>127</v>
      </c>
      <c r="J15" t="s">
        <v>98</v>
      </c>
      <c r="K15" t="s">
        <v>47</v>
      </c>
      <c r="L15" s="2">
        <v>3</v>
      </c>
      <c r="M15" s="2">
        <v>7759</v>
      </c>
      <c r="N15">
        <v>29</v>
      </c>
      <c r="O15" s="2">
        <v>16526.669999999998</v>
      </c>
      <c r="P15" s="2">
        <v>11278.17</v>
      </c>
      <c r="Q15" s="2">
        <v>5248.5</v>
      </c>
      <c r="R15" t="s">
        <v>33</v>
      </c>
      <c r="S15" t="s">
        <v>77</v>
      </c>
      <c r="T15" t="s">
        <v>78</v>
      </c>
      <c r="U15" t="s">
        <v>65</v>
      </c>
      <c r="V15" t="s">
        <v>151</v>
      </c>
      <c r="W15" t="s">
        <v>67</v>
      </c>
      <c r="X15" t="s">
        <v>51</v>
      </c>
    </row>
    <row r="16" spans="1:24" x14ac:dyDescent="0.25">
      <c r="A16" t="s">
        <v>152</v>
      </c>
      <c r="B16" t="s">
        <v>153</v>
      </c>
      <c r="C16" t="s">
        <v>25</v>
      </c>
      <c r="D16" t="s">
        <v>26</v>
      </c>
      <c r="E16" t="s">
        <v>27</v>
      </c>
      <c r="F16" t="s">
        <v>154</v>
      </c>
      <c r="G16" s="1">
        <v>45691</v>
      </c>
      <c r="H16" t="s">
        <v>155</v>
      </c>
      <c r="I16" t="s">
        <v>156</v>
      </c>
      <c r="J16" t="s">
        <v>109</v>
      </c>
      <c r="K16" t="s">
        <v>32</v>
      </c>
      <c r="L16" s="2">
        <v>8</v>
      </c>
      <c r="M16" s="2">
        <v>26193</v>
      </c>
      <c r="N16">
        <v>24</v>
      </c>
      <c r="O16" s="2">
        <v>159253.44</v>
      </c>
      <c r="P16" s="2">
        <v>128559.32</v>
      </c>
      <c r="Q16" s="2">
        <v>30694.12</v>
      </c>
      <c r="R16" t="s">
        <v>76</v>
      </c>
      <c r="S16" t="s">
        <v>89</v>
      </c>
      <c r="T16" t="s">
        <v>90</v>
      </c>
      <c r="U16" t="s">
        <v>36</v>
      </c>
      <c r="V16" t="s">
        <v>37</v>
      </c>
      <c r="W16" t="s">
        <v>67</v>
      </c>
      <c r="X16" t="s">
        <v>39</v>
      </c>
    </row>
    <row r="17" spans="1:24" x14ac:dyDescent="0.25">
      <c r="A17" t="s">
        <v>157</v>
      </c>
      <c r="B17" t="s">
        <v>158</v>
      </c>
      <c r="C17" t="s">
        <v>159</v>
      </c>
      <c r="D17" t="s">
        <v>160</v>
      </c>
      <c r="E17" t="s">
        <v>56</v>
      </c>
      <c r="F17" t="s">
        <v>161</v>
      </c>
      <c r="G17" s="1">
        <v>46015</v>
      </c>
      <c r="H17" t="s">
        <v>118</v>
      </c>
      <c r="I17" t="s">
        <v>119</v>
      </c>
      <c r="J17" t="s">
        <v>98</v>
      </c>
      <c r="K17" t="s">
        <v>120</v>
      </c>
      <c r="L17" s="2">
        <v>4</v>
      </c>
      <c r="M17" s="2">
        <v>15331</v>
      </c>
      <c r="N17">
        <v>13</v>
      </c>
      <c r="O17" s="2">
        <v>53351.88</v>
      </c>
      <c r="P17" s="2">
        <v>34424.15</v>
      </c>
      <c r="Q17" s="2">
        <v>18927.73</v>
      </c>
      <c r="R17" t="s">
        <v>62</v>
      </c>
      <c r="S17" t="s">
        <v>100</v>
      </c>
      <c r="T17" t="s">
        <v>101</v>
      </c>
      <c r="U17" t="s">
        <v>113</v>
      </c>
      <c r="V17" t="s">
        <v>162</v>
      </c>
      <c r="W17" t="s">
        <v>91</v>
      </c>
      <c r="X17" t="s">
        <v>39</v>
      </c>
    </row>
    <row r="18" spans="1:24" x14ac:dyDescent="0.25">
      <c r="A18" t="s">
        <v>163</v>
      </c>
      <c r="B18" t="s">
        <v>164</v>
      </c>
      <c r="C18" t="s">
        <v>165</v>
      </c>
      <c r="D18" t="s">
        <v>166</v>
      </c>
      <c r="E18" t="s">
        <v>27</v>
      </c>
      <c r="F18" t="s">
        <v>167</v>
      </c>
      <c r="G18" s="1">
        <v>45938</v>
      </c>
      <c r="H18" t="s">
        <v>107</v>
      </c>
      <c r="I18" t="s">
        <v>108</v>
      </c>
      <c r="J18" t="s">
        <v>109</v>
      </c>
      <c r="K18" t="s">
        <v>47</v>
      </c>
      <c r="L18" s="2">
        <v>15</v>
      </c>
      <c r="M18" s="2">
        <v>13321</v>
      </c>
      <c r="N18">
        <v>27</v>
      </c>
      <c r="O18" s="2">
        <v>145864.95000000001</v>
      </c>
      <c r="P18" s="2">
        <v>100157.35</v>
      </c>
      <c r="Q18" s="2">
        <v>45707.6</v>
      </c>
      <c r="R18" t="s">
        <v>110</v>
      </c>
      <c r="S18" t="s">
        <v>111</v>
      </c>
      <c r="T18" t="s">
        <v>112</v>
      </c>
      <c r="U18" t="s">
        <v>113</v>
      </c>
      <c r="V18" t="s">
        <v>168</v>
      </c>
      <c r="W18" t="s">
        <v>91</v>
      </c>
      <c r="X18" t="s">
        <v>39</v>
      </c>
    </row>
    <row r="19" spans="1:24" x14ac:dyDescent="0.25">
      <c r="A19" t="s">
        <v>169</v>
      </c>
      <c r="B19" t="s">
        <v>170</v>
      </c>
      <c r="C19" t="s">
        <v>149</v>
      </c>
      <c r="D19" t="s">
        <v>149</v>
      </c>
      <c r="E19" t="s">
        <v>56</v>
      </c>
      <c r="F19" t="s">
        <v>171</v>
      </c>
      <c r="G19" s="1">
        <v>45856</v>
      </c>
      <c r="H19" t="s">
        <v>172</v>
      </c>
      <c r="I19" t="s">
        <v>173</v>
      </c>
      <c r="J19" t="s">
        <v>109</v>
      </c>
      <c r="K19" t="s">
        <v>120</v>
      </c>
      <c r="L19" s="2">
        <v>16</v>
      </c>
      <c r="M19" s="2">
        <v>2152</v>
      </c>
      <c r="N19">
        <v>6</v>
      </c>
      <c r="O19" s="2">
        <v>32366.080000000002</v>
      </c>
      <c r="P19" s="2">
        <v>22554</v>
      </c>
      <c r="Q19" s="2">
        <v>9812.08</v>
      </c>
      <c r="R19" t="s">
        <v>62</v>
      </c>
      <c r="S19" t="s">
        <v>121</v>
      </c>
      <c r="T19" t="s">
        <v>122</v>
      </c>
      <c r="U19" t="s">
        <v>65</v>
      </c>
      <c r="V19" t="s">
        <v>151</v>
      </c>
      <c r="W19" t="s">
        <v>67</v>
      </c>
      <c r="X19" t="s">
        <v>39</v>
      </c>
    </row>
    <row r="20" spans="1:24" x14ac:dyDescent="0.25">
      <c r="A20" t="s">
        <v>174</v>
      </c>
      <c r="B20" t="s">
        <v>175</v>
      </c>
      <c r="C20" t="s">
        <v>104</v>
      </c>
      <c r="D20" t="s">
        <v>105</v>
      </c>
      <c r="E20" t="s">
        <v>27</v>
      </c>
      <c r="F20" t="s">
        <v>176</v>
      </c>
      <c r="G20" s="1">
        <v>45959</v>
      </c>
      <c r="H20" t="s">
        <v>58</v>
      </c>
      <c r="I20" t="s">
        <v>59</v>
      </c>
      <c r="J20" t="s">
        <v>60</v>
      </c>
      <c r="K20" t="s">
        <v>61</v>
      </c>
      <c r="L20" s="2">
        <v>3</v>
      </c>
      <c r="M20" s="2">
        <v>44680</v>
      </c>
      <c r="N20">
        <v>11</v>
      </c>
      <c r="O20" s="2">
        <v>119295.6</v>
      </c>
      <c r="P20" s="2">
        <v>72189.039999999994</v>
      </c>
      <c r="Q20" s="2">
        <v>47106.559999999998</v>
      </c>
      <c r="R20" t="s">
        <v>62</v>
      </c>
      <c r="S20" t="s">
        <v>128</v>
      </c>
      <c r="T20" t="s">
        <v>129</v>
      </c>
      <c r="U20" t="s">
        <v>113</v>
      </c>
      <c r="V20" t="s">
        <v>114</v>
      </c>
      <c r="W20" t="s">
        <v>80</v>
      </c>
      <c r="X20" t="s">
        <v>39</v>
      </c>
    </row>
    <row r="21" spans="1:24" x14ac:dyDescent="0.25">
      <c r="A21" t="s">
        <v>177</v>
      </c>
      <c r="B21" t="s">
        <v>178</v>
      </c>
      <c r="C21" t="s">
        <v>25</v>
      </c>
      <c r="D21" t="s">
        <v>26</v>
      </c>
      <c r="E21" t="s">
        <v>27</v>
      </c>
      <c r="F21" t="s">
        <v>179</v>
      </c>
      <c r="G21" s="1">
        <v>45992</v>
      </c>
      <c r="H21" t="s">
        <v>84</v>
      </c>
      <c r="I21" t="s">
        <v>85</v>
      </c>
      <c r="J21" t="s">
        <v>86</v>
      </c>
      <c r="K21" t="s">
        <v>87</v>
      </c>
      <c r="L21" s="2">
        <v>17</v>
      </c>
      <c r="M21" s="2">
        <v>38156</v>
      </c>
      <c r="N21">
        <v>8</v>
      </c>
      <c r="O21" s="2">
        <v>596759.84</v>
      </c>
      <c r="P21" s="2">
        <v>501874.64</v>
      </c>
      <c r="Q21" s="2">
        <v>94885.2</v>
      </c>
      <c r="R21" t="s">
        <v>76</v>
      </c>
      <c r="S21" t="s">
        <v>136</v>
      </c>
      <c r="T21" t="s">
        <v>137</v>
      </c>
      <c r="U21" t="s">
        <v>36</v>
      </c>
      <c r="V21" t="s">
        <v>37</v>
      </c>
      <c r="W21" t="s">
        <v>38</v>
      </c>
      <c r="X21" t="s">
        <v>39</v>
      </c>
    </row>
    <row r="22" spans="1:24" x14ac:dyDescent="0.25">
      <c r="A22" t="s">
        <v>180</v>
      </c>
      <c r="B22" t="s">
        <v>181</v>
      </c>
      <c r="C22" t="s">
        <v>70</v>
      </c>
      <c r="D22" t="s">
        <v>71</v>
      </c>
      <c r="E22" t="s">
        <v>56</v>
      </c>
      <c r="F22" t="s">
        <v>182</v>
      </c>
      <c r="G22" s="1">
        <v>46192</v>
      </c>
      <c r="H22" t="s">
        <v>183</v>
      </c>
      <c r="I22" t="s">
        <v>184</v>
      </c>
      <c r="J22" t="s">
        <v>86</v>
      </c>
      <c r="K22" t="s">
        <v>120</v>
      </c>
      <c r="L22" s="2">
        <v>15</v>
      </c>
      <c r="M22" s="2">
        <v>45592</v>
      </c>
      <c r="N22">
        <v>29</v>
      </c>
      <c r="O22" s="2">
        <v>485554.8</v>
      </c>
      <c r="P22" s="2">
        <v>412666.94</v>
      </c>
      <c r="Q22" s="2">
        <v>72887.86</v>
      </c>
      <c r="R22" t="s">
        <v>33</v>
      </c>
      <c r="S22" t="s">
        <v>34</v>
      </c>
      <c r="T22" t="s">
        <v>35</v>
      </c>
      <c r="U22" t="s">
        <v>36</v>
      </c>
      <c r="V22" t="s">
        <v>79</v>
      </c>
      <c r="W22" t="s">
        <v>91</v>
      </c>
      <c r="X22" t="s">
        <v>51</v>
      </c>
    </row>
    <row r="23" spans="1:24" x14ac:dyDescent="0.25">
      <c r="A23" t="s">
        <v>185</v>
      </c>
      <c r="B23" t="s">
        <v>186</v>
      </c>
      <c r="C23" t="s">
        <v>187</v>
      </c>
      <c r="D23" t="s">
        <v>188</v>
      </c>
      <c r="E23" t="s">
        <v>56</v>
      </c>
      <c r="F23" t="s">
        <v>189</v>
      </c>
      <c r="G23" s="1">
        <v>46022</v>
      </c>
      <c r="H23" t="s">
        <v>44</v>
      </c>
      <c r="I23" t="s">
        <v>45</v>
      </c>
      <c r="J23" t="s">
        <v>46</v>
      </c>
      <c r="K23" t="s">
        <v>47</v>
      </c>
      <c r="L23" s="2">
        <v>3</v>
      </c>
      <c r="M23" s="2">
        <v>39943</v>
      </c>
      <c r="N23">
        <v>23</v>
      </c>
      <c r="O23" s="2">
        <v>92268.33</v>
      </c>
      <c r="P23" s="2">
        <v>63793.71</v>
      </c>
      <c r="Q23" s="2">
        <v>28474.62</v>
      </c>
      <c r="R23" t="s">
        <v>110</v>
      </c>
      <c r="S23" t="s">
        <v>48</v>
      </c>
      <c r="T23" t="s">
        <v>49</v>
      </c>
      <c r="U23" t="s">
        <v>65</v>
      </c>
      <c r="V23" t="s">
        <v>190</v>
      </c>
      <c r="W23" t="s">
        <v>80</v>
      </c>
      <c r="X23" t="s">
        <v>39</v>
      </c>
    </row>
    <row r="24" spans="1:24" x14ac:dyDescent="0.25">
      <c r="A24" t="s">
        <v>191</v>
      </c>
      <c r="B24" t="s">
        <v>192</v>
      </c>
      <c r="C24" t="s">
        <v>149</v>
      </c>
      <c r="D24" t="s">
        <v>149</v>
      </c>
      <c r="E24" t="s">
        <v>56</v>
      </c>
      <c r="F24" t="s">
        <v>193</v>
      </c>
      <c r="G24" s="1">
        <v>45768</v>
      </c>
      <c r="H24" t="s">
        <v>118</v>
      </c>
      <c r="I24" t="s">
        <v>119</v>
      </c>
      <c r="J24" t="s">
        <v>98</v>
      </c>
      <c r="K24" t="s">
        <v>120</v>
      </c>
      <c r="L24" s="2">
        <v>9</v>
      </c>
      <c r="M24" s="2">
        <v>43643</v>
      </c>
      <c r="N24">
        <v>18</v>
      </c>
      <c r="O24" s="2">
        <v>322085.34000000003</v>
      </c>
      <c r="P24" s="2">
        <v>195042.7</v>
      </c>
      <c r="Q24" s="2">
        <v>127042.64</v>
      </c>
      <c r="R24" t="s">
        <v>62</v>
      </c>
      <c r="S24" t="s">
        <v>63</v>
      </c>
      <c r="T24" t="s">
        <v>64</v>
      </c>
      <c r="U24" t="s">
        <v>65</v>
      </c>
      <c r="V24" t="s">
        <v>151</v>
      </c>
      <c r="W24" t="s">
        <v>80</v>
      </c>
      <c r="X24" t="s">
        <v>51</v>
      </c>
    </row>
    <row r="25" spans="1:24" x14ac:dyDescent="0.25">
      <c r="A25" t="s">
        <v>194</v>
      </c>
      <c r="B25" t="s">
        <v>195</v>
      </c>
      <c r="C25" t="s">
        <v>196</v>
      </c>
      <c r="D25" t="s">
        <v>197</v>
      </c>
      <c r="E25" t="s">
        <v>56</v>
      </c>
      <c r="F25" t="s">
        <v>198</v>
      </c>
      <c r="G25" s="1">
        <v>45695</v>
      </c>
      <c r="H25" t="s">
        <v>199</v>
      </c>
      <c r="I25" t="s">
        <v>200</v>
      </c>
      <c r="J25" t="s">
        <v>46</v>
      </c>
      <c r="K25" t="s">
        <v>61</v>
      </c>
      <c r="L25" s="2">
        <v>10</v>
      </c>
      <c r="M25" s="2">
        <v>19290</v>
      </c>
      <c r="N25">
        <v>21</v>
      </c>
      <c r="O25" s="2">
        <v>152391</v>
      </c>
      <c r="P25" s="2">
        <v>124704.09</v>
      </c>
      <c r="Q25" s="2">
        <v>27686.91</v>
      </c>
      <c r="R25" t="s">
        <v>88</v>
      </c>
      <c r="S25" t="s">
        <v>77</v>
      </c>
      <c r="T25" t="s">
        <v>78</v>
      </c>
      <c r="U25" t="s">
        <v>201</v>
      </c>
      <c r="V25" t="s">
        <v>202</v>
      </c>
      <c r="W25" t="s">
        <v>91</v>
      </c>
      <c r="X25" t="s">
        <v>39</v>
      </c>
    </row>
    <row r="26" spans="1:24" x14ac:dyDescent="0.25">
      <c r="A26" t="s">
        <v>203</v>
      </c>
      <c r="B26" t="s">
        <v>204</v>
      </c>
      <c r="C26" t="s">
        <v>25</v>
      </c>
      <c r="D26" t="s">
        <v>26</v>
      </c>
      <c r="E26" t="s">
        <v>56</v>
      </c>
      <c r="F26" t="s">
        <v>205</v>
      </c>
      <c r="G26" s="1">
        <v>45681</v>
      </c>
      <c r="H26" t="s">
        <v>199</v>
      </c>
      <c r="I26" t="s">
        <v>200</v>
      </c>
      <c r="J26" t="s">
        <v>46</v>
      </c>
      <c r="K26" t="s">
        <v>61</v>
      </c>
      <c r="L26" s="2">
        <v>15</v>
      </c>
      <c r="M26" s="2">
        <v>45896</v>
      </c>
      <c r="N26">
        <v>26</v>
      </c>
      <c r="O26" s="2">
        <v>509445.6</v>
      </c>
      <c r="P26" s="2">
        <v>285041.14</v>
      </c>
      <c r="Q26" s="2">
        <v>224404.46</v>
      </c>
      <c r="R26" t="s">
        <v>110</v>
      </c>
      <c r="S26" t="s">
        <v>89</v>
      </c>
      <c r="T26" t="s">
        <v>90</v>
      </c>
      <c r="U26" t="s">
        <v>36</v>
      </c>
      <c r="V26" t="s">
        <v>37</v>
      </c>
      <c r="W26" t="s">
        <v>91</v>
      </c>
      <c r="X26" t="s">
        <v>39</v>
      </c>
    </row>
    <row r="27" spans="1:24" x14ac:dyDescent="0.25">
      <c r="A27" t="s">
        <v>206</v>
      </c>
      <c r="B27" t="s">
        <v>207</v>
      </c>
      <c r="C27" t="s">
        <v>196</v>
      </c>
      <c r="D27" t="s">
        <v>197</v>
      </c>
      <c r="E27" t="s">
        <v>56</v>
      </c>
      <c r="F27" t="s">
        <v>208</v>
      </c>
      <c r="G27" s="1">
        <v>46147</v>
      </c>
      <c r="H27" t="s">
        <v>209</v>
      </c>
      <c r="I27" t="s">
        <v>210</v>
      </c>
      <c r="J27" t="s">
        <v>31</v>
      </c>
      <c r="K27" t="s">
        <v>61</v>
      </c>
      <c r="L27" s="2">
        <v>5</v>
      </c>
      <c r="M27" s="2">
        <v>39948</v>
      </c>
      <c r="N27">
        <v>23</v>
      </c>
      <c r="O27" s="2">
        <v>153799.79999999999</v>
      </c>
      <c r="P27" s="2">
        <v>97161.52</v>
      </c>
      <c r="Q27" s="2">
        <v>56638.28</v>
      </c>
      <c r="R27" t="s">
        <v>76</v>
      </c>
      <c r="S27" t="s">
        <v>100</v>
      </c>
      <c r="T27" t="s">
        <v>101</v>
      </c>
      <c r="U27" t="s">
        <v>201</v>
      </c>
      <c r="V27" t="s">
        <v>202</v>
      </c>
      <c r="W27" t="s">
        <v>38</v>
      </c>
      <c r="X27" t="s">
        <v>51</v>
      </c>
    </row>
    <row r="28" spans="1:24" x14ac:dyDescent="0.25">
      <c r="A28" t="s">
        <v>211</v>
      </c>
      <c r="B28" t="s">
        <v>212</v>
      </c>
      <c r="C28" t="s">
        <v>165</v>
      </c>
      <c r="D28" t="s">
        <v>166</v>
      </c>
      <c r="E28" t="s">
        <v>56</v>
      </c>
      <c r="F28" t="s">
        <v>213</v>
      </c>
      <c r="G28" s="1">
        <v>46067</v>
      </c>
      <c r="H28" t="s">
        <v>73</v>
      </c>
      <c r="I28" t="s">
        <v>74</v>
      </c>
      <c r="J28" t="s">
        <v>60</v>
      </c>
      <c r="K28" t="s">
        <v>75</v>
      </c>
      <c r="L28" s="2">
        <v>2</v>
      </c>
      <c r="M28" s="2">
        <v>39313</v>
      </c>
      <c r="N28">
        <v>27</v>
      </c>
      <c r="O28" s="2">
        <v>57396.98</v>
      </c>
      <c r="P28" s="2">
        <v>34173.75</v>
      </c>
      <c r="Q28" s="2">
        <v>23223.23</v>
      </c>
      <c r="R28" t="s">
        <v>62</v>
      </c>
      <c r="S28" t="s">
        <v>111</v>
      </c>
      <c r="T28" t="s">
        <v>112</v>
      </c>
      <c r="U28" t="s">
        <v>113</v>
      </c>
      <c r="V28" t="s">
        <v>168</v>
      </c>
      <c r="W28" t="s">
        <v>67</v>
      </c>
      <c r="X28" t="s">
        <v>51</v>
      </c>
    </row>
    <row r="29" spans="1:24" x14ac:dyDescent="0.25">
      <c r="A29" t="s">
        <v>214</v>
      </c>
      <c r="B29" t="s">
        <v>215</v>
      </c>
      <c r="C29" t="s">
        <v>196</v>
      </c>
      <c r="D29" t="s">
        <v>197</v>
      </c>
      <c r="E29" t="s">
        <v>27</v>
      </c>
      <c r="F29" t="s">
        <v>216</v>
      </c>
      <c r="G29" s="1">
        <v>46029</v>
      </c>
      <c r="H29" t="s">
        <v>96</v>
      </c>
      <c r="I29" t="s">
        <v>97</v>
      </c>
      <c r="J29" t="s">
        <v>98</v>
      </c>
      <c r="K29" t="s">
        <v>99</v>
      </c>
      <c r="L29" s="2">
        <v>9</v>
      </c>
      <c r="M29" s="2">
        <v>9650</v>
      </c>
      <c r="N29">
        <v>9</v>
      </c>
      <c r="O29" s="2">
        <v>79033.5</v>
      </c>
      <c r="P29" s="2">
        <v>65328.06</v>
      </c>
      <c r="Q29" s="2">
        <v>13705.44</v>
      </c>
      <c r="R29" t="s">
        <v>88</v>
      </c>
      <c r="S29" t="s">
        <v>121</v>
      </c>
      <c r="T29" t="s">
        <v>122</v>
      </c>
      <c r="U29" t="s">
        <v>201</v>
      </c>
      <c r="V29" t="s">
        <v>202</v>
      </c>
      <c r="W29" t="s">
        <v>91</v>
      </c>
      <c r="X29" t="s">
        <v>39</v>
      </c>
    </row>
    <row r="30" spans="1:24" x14ac:dyDescent="0.25">
      <c r="A30" t="s">
        <v>217</v>
      </c>
      <c r="B30" t="s">
        <v>218</v>
      </c>
      <c r="C30" t="s">
        <v>196</v>
      </c>
      <c r="D30" t="s">
        <v>197</v>
      </c>
      <c r="E30" t="s">
        <v>56</v>
      </c>
      <c r="F30" t="s">
        <v>219</v>
      </c>
      <c r="G30" s="1">
        <v>45796</v>
      </c>
      <c r="H30" t="s">
        <v>220</v>
      </c>
      <c r="I30" t="s">
        <v>221</v>
      </c>
      <c r="J30" t="s">
        <v>86</v>
      </c>
      <c r="K30" t="s">
        <v>222</v>
      </c>
      <c r="L30" s="2">
        <v>16</v>
      </c>
      <c r="M30" s="2">
        <v>27461</v>
      </c>
      <c r="N30">
        <v>1</v>
      </c>
      <c r="O30" s="2">
        <v>434982.24</v>
      </c>
      <c r="P30" s="2">
        <v>325276.59999999998</v>
      </c>
      <c r="Q30" s="2">
        <v>109705.64</v>
      </c>
      <c r="R30" t="s">
        <v>62</v>
      </c>
      <c r="S30" t="s">
        <v>128</v>
      </c>
      <c r="T30" t="s">
        <v>129</v>
      </c>
      <c r="U30" t="s">
        <v>201</v>
      </c>
      <c r="V30" t="s">
        <v>202</v>
      </c>
      <c r="W30" t="s">
        <v>67</v>
      </c>
      <c r="X30" t="s">
        <v>51</v>
      </c>
    </row>
    <row r="31" spans="1:24" x14ac:dyDescent="0.25">
      <c r="A31" t="s">
        <v>223</v>
      </c>
      <c r="B31" t="s">
        <v>224</v>
      </c>
      <c r="C31" t="s">
        <v>165</v>
      </c>
      <c r="D31" t="s">
        <v>166</v>
      </c>
      <c r="E31" t="s">
        <v>56</v>
      </c>
      <c r="F31" t="s">
        <v>225</v>
      </c>
      <c r="G31" s="1">
        <v>46111</v>
      </c>
      <c r="H31" t="s">
        <v>226</v>
      </c>
      <c r="I31" t="s">
        <v>227</v>
      </c>
      <c r="J31" t="s">
        <v>86</v>
      </c>
      <c r="K31" t="s">
        <v>228</v>
      </c>
      <c r="L31" s="2">
        <v>19</v>
      </c>
      <c r="M31" s="2">
        <v>49517</v>
      </c>
      <c r="N31">
        <v>13</v>
      </c>
      <c r="O31" s="2">
        <v>818516.01</v>
      </c>
      <c r="P31" s="2">
        <v>503363.81</v>
      </c>
      <c r="Q31" s="2">
        <v>315152.2</v>
      </c>
      <c r="R31" t="s">
        <v>62</v>
      </c>
      <c r="S31" t="s">
        <v>136</v>
      </c>
      <c r="T31" t="s">
        <v>137</v>
      </c>
      <c r="U31" t="s">
        <v>113</v>
      </c>
      <c r="V31" t="s">
        <v>168</v>
      </c>
      <c r="W31" t="s">
        <v>80</v>
      </c>
      <c r="X31" t="s">
        <v>39</v>
      </c>
    </row>
    <row r="32" spans="1:24" x14ac:dyDescent="0.25">
      <c r="A32" t="s">
        <v>229</v>
      </c>
      <c r="B32" t="s">
        <v>230</v>
      </c>
      <c r="C32" t="s">
        <v>187</v>
      </c>
      <c r="D32" t="s">
        <v>188</v>
      </c>
      <c r="E32" t="s">
        <v>56</v>
      </c>
      <c r="F32" t="s">
        <v>231</v>
      </c>
      <c r="G32" s="1">
        <v>46069</v>
      </c>
      <c r="H32" t="s">
        <v>44</v>
      </c>
      <c r="I32" t="s">
        <v>45</v>
      </c>
      <c r="J32" t="s">
        <v>46</v>
      </c>
      <c r="K32" t="s">
        <v>47</v>
      </c>
      <c r="L32" s="2">
        <v>10</v>
      </c>
      <c r="M32" s="2">
        <v>13116</v>
      </c>
      <c r="N32">
        <v>25</v>
      </c>
      <c r="O32" s="2">
        <v>98370</v>
      </c>
      <c r="P32" s="2">
        <v>64858.26</v>
      </c>
      <c r="Q32" s="2">
        <v>33511.74</v>
      </c>
      <c r="R32" t="s">
        <v>62</v>
      </c>
      <c r="S32" t="s">
        <v>34</v>
      </c>
      <c r="T32" t="s">
        <v>35</v>
      </c>
      <c r="U32" t="s">
        <v>65</v>
      </c>
      <c r="V32" t="s">
        <v>190</v>
      </c>
      <c r="W32" t="s">
        <v>80</v>
      </c>
      <c r="X32" t="s">
        <v>51</v>
      </c>
    </row>
    <row r="33" spans="1:24" x14ac:dyDescent="0.25">
      <c r="A33" t="s">
        <v>232</v>
      </c>
      <c r="B33" t="s">
        <v>233</v>
      </c>
      <c r="C33" t="s">
        <v>196</v>
      </c>
      <c r="D33" t="s">
        <v>197</v>
      </c>
      <c r="E33" t="s">
        <v>56</v>
      </c>
      <c r="F33" t="s">
        <v>234</v>
      </c>
      <c r="G33" s="1">
        <v>45984</v>
      </c>
      <c r="H33" t="s">
        <v>29</v>
      </c>
      <c r="I33" t="s">
        <v>30</v>
      </c>
      <c r="J33" t="s">
        <v>31</v>
      </c>
      <c r="K33" t="s">
        <v>32</v>
      </c>
      <c r="L33" s="2">
        <v>14</v>
      </c>
      <c r="M33" s="2">
        <v>36538</v>
      </c>
      <c r="N33">
        <v>11</v>
      </c>
      <c r="O33" s="2">
        <v>455263.48</v>
      </c>
      <c r="P33" s="2">
        <v>238882.48</v>
      </c>
      <c r="Q33" s="2">
        <v>216381</v>
      </c>
      <c r="R33" t="s">
        <v>88</v>
      </c>
      <c r="S33" t="s">
        <v>48</v>
      </c>
      <c r="T33" t="s">
        <v>49</v>
      </c>
      <c r="U33" t="s">
        <v>201</v>
      </c>
      <c r="V33" t="s">
        <v>202</v>
      </c>
      <c r="W33" t="s">
        <v>38</v>
      </c>
      <c r="X33" t="s">
        <v>51</v>
      </c>
    </row>
    <row r="34" spans="1:24" x14ac:dyDescent="0.25">
      <c r="A34" t="s">
        <v>235</v>
      </c>
      <c r="B34" t="s">
        <v>236</v>
      </c>
      <c r="C34" t="s">
        <v>54</v>
      </c>
      <c r="D34" t="s">
        <v>55</v>
      </c>
      <c r="E34" t="s">
        <v>56</v>
      </c>
      <c r="F34" t="s">
        <v>237</v>
      </c>
      <c r="G34" s="1">
        <v>45805</v>
      </c>
      <c r="H34" t="s">
        <v>172</v>
      </c>
      <c r="I34" t="s">
        <v>173</v>
      </c>
      <c r="J34" t="s">
        <v>109</v>
      </c>
      <c r="K34" t="s">
        <v>120</v>
      </c>
      <c r="L34" s="2">
        <v>12</v>
      </c>
      <c r="M34" s="2">
        <v>21649</v>
      </c>
      <c r="N34">
        <v>17</v>
      </c>
      <c r="O34" s="2">
        <v>215624.04</v>
      </c>
      <c r="P34" s="2">
        <v>113920.12</v>
      </c>
      <c r="Q34" s="2">
        <v>101703.92</v>
      </c>
      <c r="R34" t="s">
        <v>110</v>
      </c>
      <c r="S34" t="s">
        <v>63</v>
      </c>
      <c r="T34" t="s">
        <v>64</v>
      </c>
      <c r="U34" t="s">
        <v>65</v>
      </c>
      <c r="V34" t="s">
        <v>66</v>
      </c>
      <c r="W34" t="s">
        <v>80</v>
      </c>
      <c r="X34" t="s">
        <v>39</v>
      </c>
    </row>
    <row r="35" spans="1:24" x14ac:dyDescent="0.25">
      <c r="A35" t="s">
        <v>238</v>
      </c>
      <c r="B35" t="s">
        <v>239</v>
      </c>
      <c r="C35" t="s">
        <v>196</v>
      </c>
      <c r="D35" t="s">
        <v>197</v>
      </c>
      <c r="E35" t="s">
        <v>56</v>
      </c>
      <c r="F35" t="s">
        <v>240</v>
      </c>
      <c r="G35" s="1">
        <v>45674</v>
      </c>
      <c r="H35" t="s">
        <v>241</v>
      </c>
      <c r="I35" t="s">
        <v>242</v>
      </c>
      <c r="J35" t="s">
        <v>98</v>
      </c>
      <c r="K35" t="s">
        <v>32</v>
      </c>
      <c r="L35" s="2">
        <v>20</v>
      </c>
      <c r="M35" s="2">
        <v>18099</v>
      </c>
      <c r="N35">
        <v>23</v>
      </c>
      <c r="O35" s="2">
        <v>278724.59999999998</v>
      </c>
      <c r="P35" s="2">
        <v>166182.85999999999</v>
      </c>
      <c r="Q35" s="2">
        <v>112541.74</v>
      </c>
      <c r="R35" t="s">
        <v>33</v>
      </c>
      <c r="S35" t="s">
        <v>77</v>
      </c>
      <c r="T35" t="s">
        <v>78</v>
      </c>
      <c r="U35" t="s">
        <v>201</v>
      </c>
      <c r="V35" t="s">
        <v>202</v>
      </c>
      <c r="W35" t="s">
        <v>38</v>
      </c>
      <c r="X35" t="s">
        <v>51</v>
      </c>
    </row>
    <row r="36" spans="1:24" x14ac:dyDescent="0.25">
      <c r="A36" t="s">
        <v>243</v>
      </c>
      <c r="B36" t="s">
        <v>244</v>
      </c>
      <c r="C36" t="s">
        <v>104</v>
      </c>
      <c r="D36" t="s">
        <v>105</v>
      </c>
      <c r="E36" t="s">
        <v>27</v>
      </c>
      <c r="F36" t="s">
        <v>245</v>
      </c>
      <c r="G36" s="1">
        <v>46083</v>
      </c>
      <c r="H36" t="s">
        <v>118</v>
      </c>
      <c r="I36" t="s">
        <v>119</v>
      </c>
      <c r="J36" t="s">
        <v>98</v>
      </c>
      <c r="K36" t="s">
        <v>120</v>
      </c>
      <c r="L36" s="2">
        <v>2</v>
      </c>
      <c r="M36" s="2">
        <v>17546</v>
      </c>
      <c r="N36">
        <v>8</v>
      </c>
      <c r="O36" s="2">
        <v>32284.639999999999</v>
      </c>
      <c r="P36" s="2">
        <v>25351.11</v>
      </c>
      <c r="Q36" s="2">
        <v>6933.53</v>
      </c>
      <c r="R36" t="s">
        <v>88</v>
      </c>
      <c r="S36" t="s">
        <v>89</v>
      </c>
      <c r="T36" t="s">
        <v>90</v>
      </c>
      <c r="U36" t="s">
        <v>113</v>
      </c>
      <c r="V36" t="s">
        <v>114</v>
      </c>
      <c r="W36" t="s">
        <v>67</v>
      </c>
      <c r="X36" t="s">
        <v>39</v>
      </c>
    </row>
    <row r="37" spans="1:24" x14ac:dyDescent="0.25">
      <c r="A37" t="s">
        <v>246</v>
      </c>
      <c r="B37" t="s">
        <v>247</v>
      </c>
      <c r="C37" t="s">
        <v>42</v>
      </c>
      <c r="D37" t="s">
        <v>26</v>
      </c>
      <c r="E37" t="s">
        <v>94</v>
      </c>
      <c r="F37" t="s">
        <v>248</v>
      </c>
      <c r="G37" s="1">
        <v>45673</v>
      </c>
      <c r="H37" t="s">
        <v>155</v>
      </c>
      <c r="I37" t="s">
        <v>156</v>
      </c>
      <c r="J37" t="s">
        <v>109</v>
      </c>
      <c r="K37" t="s">
        <v>32</v>
      </c>
      <c r="L37" s="2">
        <v>11</v>
      </c>
      <c r="M37" s="2">
        <v>2404</v>
      </c>
      <c r="N37">
        <v>30</v>
      </c>
      <c r="O37" s="2">
        <v>18510.8</v>
      </c>
      <c r="P37" s="2">
        <v>15584.95</v>
      </c>
      <c r="Q37" s="2">
        <v>2925.85</v>
      </c>
      <c r="R37" t="s">
        <v>76</v>
      </c>
      <c r="S37" t="s">
        <v>100</v>
      </c>
      <c r="T37" t="s">
        <v>101</v>
      </c>
      <c r="U37" t="s">
        <v>36</v>
      </c>
      <c r="V37" t="s">
        <v>50</v>
      </c>
      <c r="W37" t="s">
        <v>80</v>
      </c>
      <c r="X37" t="s">
        <v>51</v>
      </c>
    </row>
    <row r="38" spans="1:24" x14ac:dyDescent="0.25">
      <c r="A38" t="s">
        <v>249</v>
      </c>
      <c r="B38" t="s">
        <v>250</v>
      </c>
      <c r="C38" t="s">
        <v>42</v>
      </c>
      <c r="D38" t="s">
        <v>26</v>
      </c>
      <c r="E38" t="s">
        <v>94</v>
      </c>
      <c r="F38" t="s">
        <v>251</v>
      </c>
      <c r="G38" s="1">
        <v>46029</v>
      </c>
      <c r="H38" t="s">
        <v>183</v>
      </c>
      <c r="I38" t="s">
        <v>184</v>
      </c>
      <c r="J38" t="s">
        <v>86</v>
      </c>
      <c r="K38" t="s">
        <v>120</v>
      </c>
      <c r="L38" s="2">
        <v>1</v>
      </c>
      <c r="M38" s="2">
        <v>41254</v>
      </c>
      <c r="N38">
        <v>2</v>
      </c>
      <c r="O38" s="2">
        <v>40428.92</v>
      </c>
      <c r="P38" s="2">
        <v>25957.88</v>
      </c>
      <c r="Q38" s="2">
        <v>14471.04</v>
      </c>
      <c r="R38" t="s">
        <v>88</v>
      </c>
      <c r="S38" t="s">
        <v>111</v>
      </c>
      <c r="T38" t="s">
        <v>112</v>
      </c>
      <c r="U38" t="s">
        <v>36</v>
      </c>
      <c r="V38" t="s">
        <v>50</v>
      </c>
      <c r="W38" t="s">
        <v>80</v>
      </c>
      <c r="X38" t="s">
        <v>51</v>
      </c>
    </row>
    <row r="39" spans="1:24" x14ac:dyDescent="0.25">
      <c r="A39" t="s">
        <v>252</v>
      </c>
      <c r="B39" t="s">
        <v>253</v>
      </c>
      <c r="C39" t="s">
        <v>25</v>
      </c>
      <c r="D39" t="s">
        <v>26</v>
      </c>
      <c r="E39" t="s">
        <v>94</v>
      </c>
      <c r="F39" t="s">
        <v>254</v>
      </c>
      <c r="G39" s="1">
        <v>46071</v>
      </c>
      <c r="H39" t="s">
        <v>209</v>
      </c>
      <c r="I39" t="s">
        <v>210</v>
      </c>
      <c r="J39" t="s">
        <v>31</v>
      </c>
      <c r="K39" t="s">
        <v>61</v>
      </c>
      <c r="L39" s="2">
        <v>10</v>
      </c>
      <c r="M39" s="2">
        <v>35684</v>
      </c>
      <c r="N39">
        <v>26</v>
      </c>
      <c r="O39" s="2">
        <v>264061.59999999998</v>
      </c>
      <c r="P39" s="2">
        <v>164328.01999999999</v>
      </c>
      <c r="Q39" s="2">
        <v>99733.58</v>
      </c>
      <c r="R39" t="s">
        <v>33</v>
      </c>
      <c r="S39" t="s">
        <v>121</v>
      </c>
      <c r="T39" t="s">
        <v>122</v>
      </c>
      <c r="U39" t="s">
        <v>36</v>
      </c>
      <c r="V39" t="s">
        <v>37</v>
      </c>
      <c r="W39" t="s">
        <v>80</v>
      </c>
      <c r="X39" t="s">
        <v>51</v>
      </c>
    </row>
    <row r="40" spans="1:24" x14ac:dyDescent="0.25">
      <c r="A40" t="s">
        <v>255</v>
      </c>
      <c r="B40" t="s">
        <v>256</v>
      </c>
      <c r="C40" t="s">
        <v>149</v>
      </c>
      <c r="D40" t="s">
        <v>149</v>
      </c>
      <c r="E40" t="s">
        <v>27</v>
      </c>
      <c r="F40" t="s">
        <v>257</v>
      </c>
      <c r="G40" s="1">
        <v>45835</v>
      </c>
      <c r="H40" t="s">
        <v>209</v>
      </c>
      <c r="I40" t="s">
        <v>210</v>
      </c>
      <c r="J40" t="s">
        <v>31</v>
      </c>
      <c r="K40" t="s">
        <v>61</v>
      </c>
      <c r="L40" s="2">
        <v>13</v>
      </c>
      <c r="M40" s="2">
        <v>11185</v>
      </c>
      <c r="N40">
        <v>23</v>
      </c>
      <c r="O40" s="2">
        <v>111961.85</v>
      </c>
      <c r="P40" s="2">
        <v>63761.62</v>
      </c>
      <c r="Q40" s="2">
        <v>48200.23</v>
      </c>
      <c r="R40" t="s">
        <v>33</v>
      </c>
      <c r="S40" t="s">
        <v>128</v>
      </c>
      <c r="T40" t="s">
        <v>129</v>
      </c>
      <c r="U40" t="s">
        <v>65</v>
      </c>
      <c r="V40" t="s">
        <v>151</v>
      </c>
      <c r="W40" t="s">
        <v>67</v>
      </c>
      <c r="X40" t="s">
        <v>51</v>
      </c>
    </row>
    <row r="41" spans="1:24" x14ac:dyDescent="0.25">
      <c r="A41" t="s">
        <v>258</v>
      </c>
      <c r="B41" t="s">
        <v>259</v>
      </c>
      <c r="C41" t="s">
        <v>159</v>
      </c>
      <c r="D41" t="s">
        <v>160</v>
      </c>
      <c r="E41" t="s">
        <v>94</v>
      </c>
      <c r="F41" t="s">
        <v>260</v>
      </c>
      <c r="G41" s="1">
        <v>45730</v>
      </c>
      <c r="H41" t="s">
        <v>96</v>
      </c>
      <c r="I41" t="s">
        <v>97</v>
      </c>
      <c r="J41" t="s">
        <v>98</v>
      </c>
      <c r="K41" t="s">
        <v>99</v>
      </c>
      <c r="L41" s="2">
        <v>15</v>
      </c>
      <c r="M41" s="2">
        <v>11691</v>
      </c>
      <c r="N41">
        <v>15</v>
      </c>
      <c r="O41" s="2">
        <v>149060.25</v>
      </c>
      <c r="P41" s="2">
        <v>103377.4</v>
      </c>
      <c r="Q41" s="2">
        <v>45682.85</v>
      </c>
      <c r="R41" t="s">
        <v>33</v>
      </c>
      <c r="S41" t="s">
        <v>136</v>
      </c>
      <c r="T41" t="s">
        <v>137</v>
      </c>
      <c r="U41" t="s">
        <v>113</v>
      </c>
      <c r="V41" t="s">
        <v>162</v>
      </c>
      <c r="W41" t="s">
        <v>38</v>
      </c>
      <c r="X41" t="s">
        <v>51</v>
      </c>
    </row>
    <row r="42" spans="1:24" x14ac:dyDescent="0.25">
      <c r="A42" t="s">
        <v>261</v>
      </c>
      <c r="B42" t="s">
        <v>262</v>
      </c>
      <c r="C42" t="s">
        <v>54</v>
      </c>
      <c r="D42" t="s">
        <v>55</v>
      </c>
      <c r="E42" t="s">
        <v>94</v>
      </c>
      <c r="F42" t="s">
        <v>263</v>
      </c>
      <c r="G42" s="1">
        <v>45997</v>
      </c>
      <c r="H42" t="s">
        <v>58</v>
      </c>
      <c r="I42" t="s">
        <v>59</v>
      </c>
      <c r="J42" t="s">
        <v>60</v>
      </c>
      <c r="K42" t="s">
        <v>61</v>
      </c>
      <c r="L42" s="2">
        <v>4</v>
      </c>
      <c r="M42" s="2">
        <v>11886</v>
      </c>
      <c r="N42">
        <v>14</v>
      </c>
      <c r="O42" s="2">
        <v>40887.839999999997</v>
      </c>
      <c r="P42" s="2">
        <v>29932.19</v>
      </c>
      <c r="Q42" s="2">
        <v>10955.65</v>
      </c>
      <c r="R42" t="s">
        <v>76</v>
      </c>
      <c r="S42" t="s">
        <v>34</v>
      </c>
      <c r="T42" t="s">
        <v>35</v>
      </c>
      <c r="U42" t="s">
        <v>65</v>
      </c>
      <c r="V42" t="s">
        <v>66</v>
      </c>
      <c r="W42" t="s">
        <v>38</v>
      </c>
      <c r="X42" t="s">
        <v>39</v>
      </c>
    </row>
    <row r="43" spans="1:24" x14ac:dyDescent="0.25">
      <c r="A43" t="s">
        <v>264</v>
      </c>
      <c r="B43" t="s">
        <v>265</v>
      </c>
      <c r="C43" t="s">
        <v>149</v>
      </c>
      <c r="D43" t="s">
        <v>149</v>
      </c>
      <c r="E43" t="s">
        <v>27</v>
      </c>
      <c r="F43" t="s">
        <v>266</v>
      </c>
      <c r="G43" s="1">
        <v>45898</v>
      </c>
      <c r="H43" t="s">
        <v>96</v>
      </c>
      <c r="I43" t="s">
        <v>97</v>
      </c>
      <c r="J43" t="s">
        <v>98</v>
      </c>
      <c r="K43" t="s">
        <v>99</v>
      </c>
      <c r="L43" s="2">
        <v>2</v>
      </c>
      <c r="M43" s="2">
        <v>36406</v>
      </c>
      <c r="N43">
        <v>9</v>
      </c>
      <c r="O43" s="2">
        <v>66258.92</v>
      </c>
      <c r="P43" s="2">
        <v>39150.769999999997</v>
      </c>
      <c r="Q43" s="2">
        <v>27108.15</v>
      </c>
      <c r="R43" t="s">
        <v>110</v>
      </c>
      <c r="S43" t="s">
        <v>48</v>
      </c>
      <c r="T43" t="s">
        <v>49</v>
      </c>
      <c r="U43" t="s">
        <v>65</v>
      </c>
      <c r="V43" t="s">
        <v>151</v>
      </c>
      <c r="W43" t="s">
        <v>91</v>
      </c>
      <c r="X43" t="s">
        <v>39</v>
      </c>
    </row>
    <row r="44" spans="1:24" x14ac:dyDescent="0.25">
      <c r="A44" t="s">
        <v>267</v>
      </c>
      <c r="B44" t="s">
        <v>268</v>
      </c>
      <c r="C44" t="s">
        <v>104</v>
      </c>
      <c r="D44" t="s">
        <v>105</v>
      </c>
      <c r="E44" t="s">
        <v>56</v>
      </c>
      <c r="F44" t="s">
        <v>269</v>
      </c>
      <c r="G44" s="1">
        <v>46163</v>
      </c>
      <c r="H44" t="s">
        <v>270</v>
      </c>
      <c r="I44" t="s">
        <v>271</v>
      </c>
      <c r="J44" t="s">
        <v>31</v>
      </c>
      <c r="K44" t="s">
        <v>120</v>
      </c>
      <c r="L44" s="2">
        <v>12</v>
      </c>
      <c r="M44" s="2">
        <v>1759</v>
      </c>
      <c r="N44">
        <v>16</v>
      </c>
      <c r="O44" s="2">
        <v>17730.72</v>
      </c>
      <c r="P44" s="2">
        <v>9424.91</v>
      </c>
      <c r="Q44" s="2">
        <v>8305.81</v>
      </c>
      <c r="R44" t="s">
        <v>88</v>
      </c>
      <c r="S44" t="s">
        <v>63</v>
      </c>
      <c r="T44" t="s">
        <v>64</v>
      </c>
      <c r="U44" t="s">
        <v>113</v>
      </c>
      <c r="V44" t="s">
        <v>114</v>
      </c>
      <c r="W44" t="s">
        <v>67</v>
      </c>
      <c r="X44" t="s">
        <v>51</v>
      </c>
    </row>
    <row r="45" spans="1:24" x14ac:dyDescent="0.25">
      <c r="A45" t="s">
        <v>272</v>
      </c>
      <c r="B45" t="s">
        <v>273</v>
      </c>
      <c r="C45" t="s">
        <v>159</v>
      </c>
      <c r="D45" t="s">
        <v>160</v>
      </c>
      <c r="E45" t="s">
        <v>56</v>
      </c>
      <c r="F45" t="s">
        <v>274</v>
      </c>
      <c r="G45" s="1">
        <v>45727</v>
      </c>
      <c r="H45" t="s">
        <v>29</v>
      </c>
      <c r="I45" t="s">
        <v>30</v>
      </c>
      <c r="J45" t="s">
        <v>31</v>
      </c>
      <c r="K45" t="s">
        <v>32</v>
      </c>
      <c r="L45" s="2">
        <v>20</v>
      </c>
      <c r="M45" s="2">
        <v>6514</v>
      </c>
      <c r="N45">
        <v>16</v>
      </c>
      <c r="O45" s="2">
        <v>109435.2</v>
      </c>
      <c r="P45" s="2">
        <v>85038.75</v>
      </c>
      <c r="Q45" s="2">
        <v>24396.45</v>
      </c>
      <c r="R45" t="s">
        <v>62</v>
      </c>
      <c r="S45" t="s">
        <v>77</v>
      </c>
      <c r="T45" t="s">
        <v>78</v>
      </c>
      <c r="U45" t="s">
        <v>113</v>
      </c>
      <c r="V45" t="s">
        <v>162</v>
      </c>
      <c r="W45" t="s">
        <v>67</v>
      </c>
      <c r="X45" t="s">
        <v>39</v>
      </c>
    </row>
    <row r="46" spans="1:24" x14ac:dyDescent="0.25">
      <c r="A46" t="s">
        <v>275</v>
      </c>
      <c r="B46" t="s">
        <v>276</v>
      </c>
      <c r="C46" t="s">
        <v>25</v>
      </c>
      <c r="D46" t="s">
        <v>26</v>
      </c>
      <c r="E46" t="s">
        <v>27</v>
      </c>
      <c r="F46" t="s">
        <v>277</v>
      </c>
      <c r="G46" s="1">
        <v>45895</v>
      </c>
      <c r="H46" t="s">
        <v>118</v>
      </c>
      <c r="I46" t="s">
        <v>119</v>
      </c>
      <c r="J46" t="s">
        <v>98</v>
      </c>
      <c r="K46" t="s">
        <v>120</v>
      </c>
      <c r="L46" s="2">
        <v>6</v>
      </c>
      <c r="M46" s="2">
        <v>28772</v>
      </c>
      <c r="N46">
        <v>0</v>
      </c>
      <c r="O46" s="2">
        <v>172632</v>
      </c>
      <c r="P46" s="2">
        <v>115588.3</v>
      </c>
      <c r="Q46" s="2">
        <v>57043.7</v>
      </c>
      <c r="R46" t="s">
        <v>88</v>
      </c>
      <c r="S46" t="s">
        <v>89</v>
      </c>
      <c r="T46" t="s">
        <v>90</v>
      </c>
      <c r="U46" t="s">
        <v>36</v>
      </c>
      <c r="V46" t="s">
        <v>37</v>
      </c>
      <c r="W46" t="s">
        <v>91</v>
      </c>
      <c r="X46" t="s">
        <v>51</v>
      </c>
    </row>
    <row r="47" spans="1:24" x14ac:dyDescent="0.25">
      <c r="A47" t="s">
        <v>278</v>
      </c>
      <c r="B47" t="s">
        <v>279</v>
      </c>
      <c r="C47" t="s">
        <v>165</v>
      </c>
      <c r="D47" t="s">
        <v>166</v>
      </c>
      <c r="E47" t="s">
        <v>56</v>
      </c>
      <c r="F47" t="s">
        <v>280</v>
      </c>
      <c r="G47" s="1">
        <v>45949</v>
      </c>
      <c r="H47" t="s">
        <v>58</v>
      </c>
      <c r="I47" t="s">
        <v>59</v>
      </c>
      <c r="J47" t="s">
        <v>60</v>
      </c>
      <c r="K47" t="s">
        <v>61</v>
      </c>
      <c r="L47" s="2">
        <v>20</v>
      </c>
      <c r="M47" s="2">
        <v>1181</v>
      </c>
      <c r="N47">
        <v>25</v>
      </c>
      <c r="O47" s="2">
        <v>17715</v>
      </c>
      <c r="P47" s="2">
        <v>12817.08</v>
      </c>
      <c r="Q47" s="2">
        <v>4897.92</v>
      </c>
      <c r="R47" t="s">
        <v>76</v>
      </c>
      <c r="S47" t="s">
        <v>100</v>
      </c>
      <c r="T47" t="s">
        <v>101</v>
      </c>
      <c r="U47" t="s">
        <v>113</v>
      </c>
      <c r="V47" t="s">
        <v>168</v>
      </c>
      <c r="W47" t="s">
        <v>38</v>
      </c>
      <c r="X47" t="s">
        <v>51</v>
      </c>
    </row>
    <row r="48" spans="1:24" x14ac:dyDescent="0.25">
      <c r="A48" t="s">
        <v>281</v>
      </c>
      <c r="B48" t="s">
        <v>282</v>
      </c>
      <c r="C48" t="s">
        <v>196</v>
      </c>
      <c r="D48" t="s">
        <v>197</v>
      </c>
      <c r="E48" t="s">
        <v>56</v>
      </c>
      <c r="F48" t="s">
        <v>283</v>
      </c>
      <c r="G48" s="1">
        <v>45806</v>
      </c>
      <c r="H48" t="s">
        <v>96</v>
      </c>
      <c r="I48" t="s">
        <v>97</v>
      </c>
      <c r="J48" t="s">
        <v>98</v>
      </c>
      <c r="K48" t="s">
        <v>99</v>
      </c>
      <c r="L48" s="2">
        <v>1</v>
      </c>
      <c r="M48" s="2">
        <v>32130</v>
      </c>
      <c r="N48">
        <v>21</v>
      </c>
      <c r="O48" s="2">
        <v>25382.7</v>
      </c>
      <c r="P48" s="2">
        <v>20195.71</v>
      </c>
      <c r="Q48" s="2">
        <v>5186.99</v>
      </c>
      <c r="R48" t="s">
        <v>76</v>
      </c>
      <c r="S48" t="s">
        <v>111</v>
      </c>
      <c r="T48" t="s">
        <v>112</v>
      </c>
      <c r="U48" t="s">
        <v>201</v>
      </c>
      <c r="V48" t="s">
        <v>202</v>
      </c>
      <c r="W48" t="s">
        <v>80</v>
      </c>
      <c r="X48" t="s">
        <v>51</v>
      </c>
    </row>
    <row r="49" spans="1:24" x14ac:dyDescent="0.25">
      <c r="A49" t="s">
        <v>284</v>
      </c>
      <c r="B49" t="s">
        <v>285</v>
      </c>
      <c r="C49" t="s">
        <v>196</v>
      </c>
      <c r="D49" t="s">
        <v>197</v>
      </c>
      <c r="E49" t="s">
        <v>27</v>
      </c>
      <c r="F49" t="s">
        <v>286</v>
      </c>
      <c r="G49" s="1">
        <v>46086</v>
      </c>
      <c r="H49" t="s">
        <v>96</v>
      </c>
      <c r="I49" t="s">
        <v>97</v>
      </c>
      <c r="J49" t="s">
        <v>98</v>
      </c>
      <c r="K49" t="s">
        <v>99</v>
      </c>
      <c r="L49" s="2">
        <v>8</v>
      </c>
      <c r="M49" s="2">
        <v>31280</v>
      </c>
      <c r="N49">
        <v>17</v>
      </c>
      <c r="O49" s="2">
        <v>207699.20000000001</v>
      </c>
      <c r="P49" s="2">
        <v>160837.26</v>
      </c>
      <c r="Q49" s="2">
        <v>46861.94</v>
      </c>
      <c r="R49" t="s">
        <v>110</v>
      </c>
      <c r="S49" t="s">
        <v>121</v>
      </c>
      <c r="T49" t="s">
        <v>122</v>
      </c>
      <c r="U49" t="s">
        <v>201</v>
      </c>
      <c r="V49" t="s">
        <v>202</v>
      </c>
      <c r="W49" t="s">
        <v>80</v>
      </c>
      <c r="X49" t="s">
        <v>51</v>
      </c>
    </row>
    <row r="50" spans="1:24" x14ac:dyDescent="0.25">
      <c r="A50" t="s">
        <v>287</v>
      </c>
      <c r="B50" t="s">
        <v>288</v>
      </c>
      <c r="C50" t="s">
        <v>165</v>
      </c>
      <c r="D50" t="s">
        <v>166</v>
      </c>
      <c r="E50" t="s">
        <v>27</v>
      </c>
      <c r="F50" t="s">
        <v>289</v>
      </c>
      <c r="G50" s="1">
        <v>45893</v>
      </c>
      <c r="H50" t="s">
        <v>290</v>
      </c>
      <c r="I50" t="s">
        <v>291</v>
      </c>
      <c r="J50" t="s">
        <v>31</v>
      </c>
      <c r="K50" t="s">
        <v>87</v>
      </c>
      <c r="L50" s="2">
        <v>19</v>
      </c>
      <c r="M50" s="2">
        <v>40999</v>
      </c>
      <c r="N50">
        <v>9</v>
      </c>
      <c r="O50" s="2">
        <v>708872.71</v>
      </c>
      <c r="P50" s="2">
        <v>405269.25</v>
      </c>
      <c r="Q50" s="2">
        <v>303603.46000000002</v>
      </c>
      <c r="R50" t="s">
        <v>76</v>
      </c>
      <c r="S50" t="s">
        <v>128</v>
      </c>
      <c r="T50" t="s">
        <v>129</v>
      </c>
      <c r="U50" t="s">
        <v>113</v>
      </c>
      <c r="V50" t="s">
        <v>168</v>
      </c>
      <c r="W50" t="s">
        <v>80</v>
      </c>
      <c r="X50" t="s">
        <v>51</v>
      </c>
    </row>
    <row r="51" spans="1:24" x14ac:dyDescent="0.25">
      <c r="A51" t="s">
        <v>292</v>
      </c>
      <c r="B51" t="s">
        <v>293</v>
      </c>
      <c r="C51" t="s">
        <v>42</v>
      </c>
      <c r="D51" t="s">
        <v>26</v>
      </c>
      <c r="E51" t="s">
        <v>94</v>
      </c>
      <c r="F51" t="s">
        <v>294</v>
      </c>
      <c r="G51" s="1">
        <v>45669</v>
      </c>
      <c r="H51" t="s">
        <v>155</v>
      </c>
      <c r="I51" t="s">
        <v>156</v>
      </c>
      <c r="J51" t="s">
        <v>109</v>
      </c>
      <c r="K51" t="s">
        <v>32</v>
      </c>
      <c r="L51" s="2">
        <v>10</v>
      </c>
      <c r="M51" s="2">
        <v>40002</v>
      </c>
      <c r="N51">
        <v>24</v>
      </c>
      <c r="O51" s="2">
        <v>304015.2</v>
      </c>
      <c r="P51" s="2">
        <v>185443.68</v>
      </c>
      <c r="Q51" s="2">
        <v>118571.52</v>
      </c>
      <c r="R51" t="s">
        <v>33</v>
      </c>
      <c r="S51" t="s">
        <v>136</v>
      </c>
      <c r="T51" t="s">
        <v>137</v>
      </c>
      <c r="U51" t="s">
        <v>36</v>
      </c>
      <c r="V51" t="s">
        <v>50</v>
      </c>
      <c r="W51" t="s">
        <v>38</v>
      </c>
      <c r="X51" t="s">
        <v>51</v>
      </c>
    </row>
    <row r="52" spans="1:24" x14ac:dyDescent="0.25">
      <c r="A52" t="s">
        <v>295</v>
      </c>
      <c r="B52" t="s">
        <v>296</v>
      </c>
      <c r="C52" t="s">
        <v>70</v>
      </c>
      <c r="D52" t="s">
        <v>71</v>
      </c>
      <c r="E52" t="s">
        <v>94</v>
      </c>
      <c r="F52" t="s">
        <v>297</v>
      </c>
      <c r="G52" s="1">
        <v>45771</v>
      </c>
      <c r="H52" t="s">
        <v>29</v>
      </c>
      <c r="I52" t="s">
        <v>30</v>
      </c>
      <c r="J52" t="s">
        <v>31</v>
      </c>
      <c r="K52" t="s">
        <v>32</v>
      </c>
      <c r="L52" s="2">
        <v>12</v>
      </c>
      <c r="M52" s="2">
        <v>48775</v>
      </c>
      <c r="N52">
        <v>15</v>
      </c>
      <c r="O52" s="2">
        <v>497505</v>
      </c>
      <c r="P52" s="2">
        <v>306056.90000000002</v>
      </c>
      <c r="Q52" s="2">
        <v>191448.1</v>
      </c>
      <c r="R52" t="s">
        <v>76</v>
      </c>
      <c r="S52" t="s">
        <v>34</v>
      </c>
      <c r="T52" t="s">
        <v>35</v>
      </c>
      <c r="U52" t="s">
        <v>36</v>
      </c>
      <c r="V52" t="s">
        <v>79</v>
      </c>
      <c r="W52" t="s">
        <v>38</v>
      </c>
      <c r="X52" t="s">
        <v>39</v>
      </c>
    </row>
    <row r="53" spans="1:24" x14ac:dyDescent="0.25">
      <c r="A53" t="s">
        <v>298</v>
      </c>
      <c r="B53" t="s">
        <v>299</v>
      </c>
      <c r="C53" t="s">
        <v>104</v>
      </c>
      <c r="D53" t="s">
        <v>105</v>
      </c>
      <c r="E53" t="s">
        <v>94</v>
      </c>
      <c r="F53" t="s">
        <v>300</v>
      </c>
      <c r="G53" s="1">
        <v>45950</v>
      </c>
      <c r="H53" t="s">
        <v>133</v>
      </c>
      <c r="I53" t="s">
        <v>134</v>
      </c>
      <c r="J53" t="s">
        <v>60</v>
      </c>
      <c r="K53" t="s">
        <v>135</v>
      </c>
      <c r="L53" s="2">
        <v>15</v>
      </c>
      <c r="M53" s="2">
        <v>30452</v>
      </c>
      <c r="N53">
        <v>21</v>
      </c>
      <c r="O53" s="2">
        <v>360856.2</v>
      </c>
      <c r="P53" s="2">
        <v>249586</v>
      </c>
      <c r="Q53" s="2">
        <v>111270.2</v>
      </c>
      <c r="R53" t="s">
        <v>62</v>
      </c>
      <c r="S53" t="s">
        <v>48</v>
      </c>
      <c r="T53" t="s">
        <v>49</v>
      </c>
      <c r="U53" t="s">
        <v>113</v>
      </c>
      <c r="V53" t="s">
        <v>114</v>
      </c>
      <c r="W53" t="s">
        <v>91</v>
      </c>
      <c r="X53" t="s">
        <v>51</v>
      </c>
    </row>
    <row r="54" spans="1:24" x14ac:dyDescent="0.25">
      <c r="A54" t="s">
        <v>301</v>
      </c>
      <c r="B54" t="s">
        <v>302</v>
      </c>
      <c r="C54" t="s">
        <v>104</v>
      </c>
      <c r="D54" t="s">
        <v>105</v>
      </c>
      <c r="E54" t="s">
        <v>94</v>
      </c>
      <c r="F54" t="s">
        <v>303</v>
      </c>
      <c r="G54" s="1">
        <v>45911</v>
      </c>
      <c r="H54" t="s">
        <v>172</v>
      </c>
      <c r="I54" t="s">
        <v>173</v>
      </c>
      <c r="J54" t="s">
        <v>109</v>
      </c>
      <c r="K54" t="s">
        <v>120</v>
      </c>
      <c r="L54" s="2">
        <v>18</v>
      </c>
      <c r="M54" s="2">
        <v>24851</v>
      </c>
      <c r="N54">
        <v>0</v>
      </c>
      <c r="O54" s="2">
        <v>447318</v>
      </c>
      <c r="P54" s="2">
        <v>351500.55</v>
      </c>
      <c r="Q54" s="2">
        <v>95817.45</v>
      </c>
      <c r="R54" t="s">
        <v>62</v>
      </c>
      <c r="S54" t="s">
        <v>63</v>
      </c>
      <c r="T54" t="s">
        <v>64</v>
      </c>
      <c r="U54" t="s">
        <v>113</v>
      </c>
      <c r="V54" t="s">
        <v>114</v>
      </c>
      <c r="W54" t="s">
        <v>80</v>
      </c>
      <c r="X54" t="s">
        <v>51</v>
      </c>
    </row>
    <row r="55" spans="1:24" x14ac:dyDescent="0.25">
      <c r="A55" t="s">
        <v>304</v>
      </c>
      <c r="B55" t="s">
        <v>305</v>
      </c>
      <c r="C55" t="s">
        <v>42</v>
      </c>
      <c r="D55" t="s">
        <v>26</v>
      </c>
      <c r="E55" t="s">
        <v>94</v>
      </c>
      <c r="F55" t="s">
        <v>306</v>
      </c>
      <c r="G55" s="1">
        <v>45844</v>
      </c>
      <c r="H55" t="s">
        <v>73</v>
      </c>
      <c r="I55" t="s">
        <v>74</v>
      </c>
      <c r="J55" t="s">
        <v>60</v>
      </c>
      <c r="K55" t="s">
        <v>75</v>
      </c>
      <c r="L55" s="2">
        <v>8</v>
      </c>
      <c r="M55" s="2">
        <v>42963</v>
      </c>
      <c r="N55">
        <v>21</v>
      </c>
      <c r="O55" s="2">
        <v>271526.15999999997</v>
      </c>
      <c r="P55" s="2">
        <v>218452.2</v>
      </c>
      <c r="Q55" s="2">
        <v>53073.96</v>
      </c>
      <c r="R55" t="s">
        <v>76</v>
      </c>
      <c r="S55" t="s">
        <v>77</v>
      </c>
      <c r="T55" t="s">
        <v>78</v>
      </c>
      <c r="U55" t="s">
        <v>36</v>
      </c>
      <c r="V55" t="s">
        <v>50</v>
      </c>
      <c r="W55" t="s">
        <v>91</v>
      </c>
      <c r="X55" t="s">
        <v>51</v>
      </c>
    </row>
    <row r="56" spans="1:24" x14ac:dyDescent="0.25">
      <c r="A56" t="s">
        <v>307</v>
      </c>
      <c r="B56" t="s">
        <v>308</v>
      </c>
      <c r="C56" t="s">
        <v>70</v>
      </c>
      <c r="D56" t="s">
        <v>71</v>
      </c>
      <c r="E56" t="s">
        <v>27</v>
      </c>
      <c r="F56" t="s">
        <v>309</v>
      </c>
      <c r="G56" s="1">
        <v>45827</v>
      </c>
      <c r="H56" t="s">
        <v>220</v>
      </c>
      <c r="I56" t="s">
        <v>221</v>
      </c>
      <c r="J56" t="s">
        <v>86</v>
      </c>
      <c r="K56" t="s">
        <v>222</v>
      </c>
      <c r="L56" s="2">
        <v>12</v>
      </c>
      <c r="M56" s="2">
        <v>38892</v>
      </c>
      <c r="N56">
        <v>27</v>
      </c>
      <c r="O56" s="2">
        <v>340693.92</v>
      </c>
      <c r="P56" s="2">
        <v>190704.59</v>
      </c>
      <c r="Q56" s="2">
        <v>149989.32999999999</v>
      </c>
      <c r="R56" t="s">
        <v>76</v>
      </c>
      <c r="S56" t="s">
        <v>89</v>
      </c>
      <c r="T56" t="s">
        <v>90</v>
      </c>
      <c r="U56" t="s">
        <v>36</v>
      </c>
      <c r="V56" t="s">
        <v>79</v>
      </c>
      <c r="W56" t="s">
        <v>67</v>
      </c>
      <c r="X56" t="s">
        <v>39</v>
      </c>
    </row>
    <row r="57" spans="1:24" x14ac:dyDescent="0.25">
      <c r="A57" t="s">
        <v>310</v>
      </c>
      <c r="B57" t="s">
        <v>311</v>
      </c>
      <c r="C57" t="s">
        <v>54</v>
      </c>
      <c r="D57" t="s">
        <v>55</v>
      </c>
      <c r="E57" t="s">
        <v>56</v>
      </c>
      <c r="F57" t="s">
        <v>312</v>
      </c>
      <c r="G57" s="1">
        <v>45902</v>
      </c>
      <c r="H57" t="s">
        <v>107</v>
      </c>
      <c r="I57" t="s">
        <v>108</v>
      </c>
      <c r="J57" t="s">
        <v>109</v>
      </c>
      <c r="K57" t="s">
        <v>47</v>
      </c>
      <c r="L57" s="2">
        <v>8</v>
      </c>
      <c r="M57" s="2">
        <v>1522</v>
      </c>
      <c r="N57">
        <v>17</v>
      </c>
      <c r="O57" s="2">
        <v>10106.08</v>
      </c>
      <c r="P57" s="2">
        <v>6245.26</v>
      </c>
      <c r="Q57" s="2">
        <v>3860.82</v>
      </c>
      <c r="R57" t="s">
        <v>76</v>
      </c>
      <c r="S57" t="s">
        <v>100</v>
      </c>
      <c r="T57" t="s">
        <v>101</v>
      </c>
      <c r="U57" t="s">
        <v>65</v>
      </c>
      <c r="V57" t="s">
        <v>66</v>
      </c>
      <c r="W57" t="s">
        <v>67</v>
      </c>
      <c r="X57" t="s">
        <v>51</v>
      </c>
    </row>
    <row r="58" spans="1:24" x14ac:dyDescent="0.25">
      <c r="A58" t="s">
        <v>313</v>
      </c>
      <c r="B58" t="s">
        <v>314</v>
      </c>
      <c r="C58" t="s">
        <v>165</v>
      </c>
      <c r="D58" t="s">
        <v>166</v>
      </c>
      <c r="E58" t="s">
        <v>56</v>
      </c>
      <c r="F58" t="s">
        <v>315</v>
      </c>
      <c r="G58" s="1">
        <v>45722</v>
      </c>
      <c r="H58" t="s">
        <v>241</v>
      </c>
      <c r="I58" t="s">
        <v>242</v>
      </c>
      <c r="J58" t="s">
        <v>98</v>
      </c>
      <c r="K58" t="s">
        <v>32</v>
      </c>
      <c r="L58" s="2">
        <v>2</v>
      </c>
      <c r="M58" s="2">
        <v>46605</v>
      </c>
      <c r="N58">
        <v>23</v>
      </c>
      <c r="O58" s="2">
        <v>71771.7</v>
      </c>
      <c r="P58" s="2">
        <v>42092.67</v>
      </c>
      <c r="Q58" s="2">
        <v>29679.03</v>
      </c>
      <c r="R58" t="s">
        <v>33</v>
      </c>
      <c r="S58" t="s">
        <v>111</v>
      </c>
      <c r="T58" t="s">
        <v>112</v>
      </c>
      <c r="U58" t="s">
        <v>113</v>
      </c>
      <c r="V58" t="s">
        <v>168</v>
      </c>
      <c r="W58" t="s">
        <v>67</v>
      </c>
      <c r="X58" t="s">
        <v>51</v>
      </c>
    </row>
    <row r="59" spans="1:24" x14ac:dyDescent="0.25">
      <c r="A59" t="s">
        <v>316</v>
      </c>
      <c r="B59" t="s">
        <v>317</v>
      </c>
      <c r="C59" t="s">
        <v>196</v>
      </c>
      <c r="D59" t="s">
        <v>197</v>
      </c>
      <c r="E59" t="s">
        <v>27</v>
      </c>
      <c r="F59" t="s">
        <v>318</v>
      </c>
      <c r="G59" s="1">
        <v>46080</v>
      </c>
      <c r="H59" t="s">
        <v>319</v>
      </c>
      <c r="I59" t="s">
        <v>320</v>
      </c>
      <c r="J59" t="s">
        <v>60</v>
      </c>
      <c r="K59" t="s">
        <v>99</v>
      </c>
      <c r="L59" s="2">
        <v>15</v>
      </c>
      <c r="M59" s="2">
        <v>8040</v>
      </c>
      <c r="N59">
        <v>12</v>
      </c>
      <c r="O59" s="2">
        <v>106128</v>
      </c>
      <c r="P59" s="2">
        <v>62240.77</v>
      </c>
      <c r="Q59" s="2">
        <v>43887.23</v>
      </c>
      <c r="R59" t="s">
        <v>76</v>
      </c>
      <c r="S59" t="s">
        <v>121</v>
      </c>
      <c r="T59" t="s">
        <v>122</v>
      </c>
      <c r="U59" t="s">
        <v>201</v>
      </c>
      <c r="V59" t="s">
        <v>202</v>
      </c>
      <c r="W59" t="s">
        <v>80</v>
      </c>
      <c r="X59" t="s">
        <v>39</v>
      </c>
    </row>
    <row r="60" spans="1:24" x14ac:dyDescent="0.25">
      <c r="A60" t="s">
        <v>321</v>
      </c>
      <c r="B60" t="s">
        <v>322</v>
      </c>
      <c r="C60" t="s">
        <v>165</v>
      </c>
      <c r="D60" t="s">
        <v>166</v>
      </c>
      <c r="E60" t="s">
        <v>56</v>
      </c>
      <c r="F60" t="s">
        <v>323</v>
      </c>
      <c r="G60" s="1">
        <v>45676</v>
      </c>
      <c r="H60" t="s">
        <v>324</v>
      </c>
      <c r="I60" t="s">
        <v>325</v>
      </c>
      <c r="J60" t="s">
        <v>46</v>
      </c>
      <c r="K60" t="s">
        <v>61</v>
      </c>
      <c r="L60" s="2">
        <v>12</v>
      </c>
      <c r="M60" s="2">
        <v>46081</v>
      </c>
      <c r="N60">
        <v>10</v>
      </c>
      <c r="O60" s="2">
        <v>497674.8</v>
      </c>
      <c r="P60" s="2">
        <v>359192.18</v>
      </c>
      <c r="Q60" s="2">
        <v>138482.62</v>
      </c>
      <c r="R60" t="s">
        <v>62</v>
      </c>
      <c r="S60" t="s">
        <v>128</v>
      </c>
      <c r="T60" t="s">
        <v>129</v>
      </c>
      <c r="U60" t="s">
        <v>113</v>
      </c>
      <c r="V60" t="s">
        <v>168</v>
      </c>
      <c r="W60" t="s">
        <v>38</v>
      </c>
      <c r="X60" t="s">
        <v>39</v>
      </c>
    </row>
    <row r="61" spans="1:24" x14ac:dyDescent="0.25">
      <c r="A61" t="s">
        <v>326</v>
      </c>
      <c r="B61" t="s">
        <v>327</v>
      </c>
      <c r="C61" t="s">
        <v>104</v>
      </c>
      <c r="D61" t="s">
        <v>105</v>
      </c>
      <c r="E61" t="s">
        <v>27</v>
      </c>
      <c r="F61" t="s">
        <v>328</v>
      </c>
      <c r="G61" s="1">
        <v>45814</v>
      </c>
      <c r="H61" t="s">
        <v>241</v>
      </c>
      <c r="I61" t="s">
        <v>242</v>
      </c>
      <c r="J61" t="s">
        <v>98</v>
      </c>
      <c r="K61" t="s">
        <v>32</v>
      </c>
      <c r="L61" s="2">
        <v>20</v>
      </c>
      <c r="M61" s="2">
        <v>6340</v>
      </c>
      <c r="N61">
        <v>8</v>
      </c>
      <c r="O61" s="2">
        <v>116656</v>
      </c>
      <c r="P61" s="2">
        <v>75338.5</v>
      </c>
      <c r="Q61" s="2">
        <v>41317.5</v>
      </c>
      <c r="R61" t="s">
        <v>88</v>
      </c>
      <c r="S61" t="s">
        <v>136</v>
      </c>
      <c r="T61" t="s">
        <v>137</v>
      </c>
      <c r="U61" t="s">
        <v>113</v>
      </c>
      <c r="V61" t="s">
        <v>114</v>
      </c>
      <c r="W61" t="s">
        <v>80</v>
      </c>
      <c r="X61" t="s">
        <v>39</v>
      </c>
    </row>
    <row r="62" spans="1:24" x14ac:dyDescent="0.25">
      <c r="A62" t="s">
        <v>329</v>
      </c>
      <c r="B62" t="s">
        <v>330</v>
      </c>
      <c r="C62" t="s">
        <v>25</v>
      </c>
      <c r="D62" t="s">
        <v>26</v>
      </c>
      <c r="E62" t="s">
        <v>94</v>
      </c>
      <c r="F62" t="s">
        <v>331</v>
      </c>
      <c r="G62" s="1">
        <v>46159</v>
      </c>
      <c r="H62" t="s">
        <v>73</v>
      </c>
      <c r="I62" t="s">
        <v>74</v>
      </c>
      <c r="J62" t="s">
        <v>60</v>
      </c>
      <c r="K62" t="s">
        <v>75</v>
      </c>
      <c r="L62" s="2">
        <v>6</v>
      </c>
      <c r="M62" s="2">
        <v>18062</v>
      </c>
      <c r="N62">
        <v>17</v>
      </c>
      <c r="O62" s="2">
        <v>89948.76</v>
      </c>
      <c r="P62" s="2">
        <v>50424.83</v>
      </c>
      <c r="Q62" s="2">
        <v>39523.93</v>
      </c>
      <c r="R62" t="s">
        <v>76</v>
      </c>
      <c r="S62" t="s">
        <v>34</v>
      </c>
      <c r="T62" t="s">
        <v>35</v>
      </c>
      <c r="U62" t="s">
        <v>36</v>
      </c>
      <c r="V62" t="s">
        <v>37</v>
      </c>
      <c r="W62" t="s">
        <v>91</v>
      </c>
      <c r="X62" t="s">
        <v>51</v>
      </c>
    </row>
    <row r="63" spans="1:24" x14ac:dyDescent="0.25">
      <c r="A63" t="s">
        <v>332</v>
      </c>
      <c r="B63" t="s">
        <v>333</v>
      </c>
      <c r="C63" t="s">
        <v>159</v>
      </c>
      <c r="D63" t="s">
        <v>160</v>
      </c>
      <c r="E63" t="s">
        <v>56</v>
      </c>
      <c r="F63" t="s">
        <v>334</v>
      </c>
      <c r="G63" s="1">
        <v>46159</v>
      </c>
      <c r="H63" t="s">
        <v>73</v>
      </c>
      <c r="I63" t="s">
        <v>74</v>
      </c>
      <c r="J63" t="s">
        <v>60</v>
      </c>
      <c r="K63" t="s">
        <v>75</v>
      </c>
      <c r="L63" s="2">
        <v>3</v>
      </c>
      <c r="M63" s="2">
        <v>43585</v>
      </c>
      <c r="N63">
        <v>17</v>
      </c>
      <c r="O63" s="2">
        <v>108526.65</v>
      </c>
      <c r="P63" s="2">
        <v>77157.23</v>
      </c>
      <c r="Q63" s="2">
        <v>31369.42</v>
      </c>
      <c r="R63" t="s">
        <v>76</v>
      </c>
      <c r="S63" t="s">
        <v>48</v>
      </c>
      <c r="T63" t="s">
        <v>49</v>
      </c>
      <c r="U63" t="s">
        <v>113</v>
      </c>
      <c r="V63" t="s">
        <v>162</v>
      </c>
      <c r="W63" t="s">
        <v>80</v>
      </c>
      <c r="X63" t="s">
        <v>39</v>
      </c>
    </row>
    <row r="64" spans="1:24" x14ac:dyDescent="0.25">
      <c r="A64" t="s">
        <v>335</v>
      </c>
      <c r="B64" t="s">
        <v>336</v>
      </c>
      <c r="C64" t="s">
        <v>54</v>
      </c>
      <c r="D64" t="s">
        <v>55</v>
      </c>
      <c r="E64" t="s">
        <v>94</v>
      </c>
      <c r="F64" t="s">
        <v>337</v>
      </c>
      <c r="G64" s="1">
        <v>45755</v>
      </c>
      <c r="H64" t="s">
        <v>199</v>
      </c>
      <c r="I64" t="s">
        <v>200</v>
      </c>
      <c r="J64" t="s">
        <v>46</v>
      </c>
      <c r="K64" t="s">
        <v>61</v>
      </c>
      <c r="L64" s="2">
        <v>2</v>
      </c>
      <c r="M64" s="2">
        <v>23739</v>
      </c>
      <c r="N64">
        <v>24</v>
      </c>
      <c r="O64" s="2">
        <v>36083.279999999999</v>
      </c>
      <c r="P64" s="2">
        <v>22665.63</v>
      </c>
      <c r="Q64" s="2">
        <v>13417.65</v>
      </c>
      <c r="R64" t="s">
        <v>33</v>
      </c>
      <c r="S64" t="s">
        <v>63</v>
      </c>
      <c r="T64" t="s">
        <v>64</v>
      </c>
      <c r="U64" t="s">
        <v>65</v>
      </c>
      <c r="V64" t="s">
        <v>66</v>
      </c>
      <c r="W64" t="s">
        <v>67</v>
      </c>
      <c r="X64" t="s">
        <v>39</v>
      </c>
    </row>
    <row r="65" spans="1:24" x14ac:dyDescent="0.25">
      <c r="A65" t="s">
        <v>338</v>
      </c>
      <c r="B65" t="s">
        <v>339</v>
      </c>
      <c r="C65" t="s">
        <v>54</v>
      </c>
      <c r="D65" t="s">
        <v>55</v>
      </c>
      <c r="E65" t="s">
        <v>27</v>
      </c>
      <c r="F65" t="s">
        <v>340</v>
      </c>
      <c r="G65" s="1">
        <v>46119</v>
      </c>
      <c r="H65" t="s">
        <v>290</v>
      </c>
      <c r="I65" t="s">
        <v>291</v>
      </c>
      <c r="J65" t="s">
        <v>31</v>
      </c>
      <c r="K65" t="s">
        <v>87</v>
      </c>
      <c r="L65" s="2">
        <v>19</v>
      </c>
      <c r="M65" s="2">
        <v>16930</v>
      </c>
      <c r="N65">
        <v>1</v>
      </c>
      <c r="O65" s="2">
        <v>318453.3</v>
      </c>
      <c r="P65" s="2">
        <v>226023.93</v>
      </c>
      <c r="Q65" s="2">
        <v>92429.37</v>
      </c>
      <c r="R65" t="s">
        <v>110</v>
      </c>
      <c r="S65" t="s">
        <v>77</v>
      </c>
      <c r="T65" t="s">
        <v>78</v>
      </c>
      <c r="U65" t="s">
        <v>65</v>
      </c>
      <c r="V65" t="s">
        <v>66</v>
      </c>
      <c r="W65" t="s">
        <v>91</v>
      </c>
      <c r="X65" t="s">
        <v>39</v>
      </c>
    </row>
    <row r="66" spans="1:24" x14ac:dyDescent="0.25">
      <c r="A66" t="s">
        <v>341</v>
      </c>
      <c r="B66" t="s">
        <v>342</v>
      </c>
      <c r="C66" t="s">
        <v>25</v>
      </c>
      <c r="D66" t="s">
        <v>26</v>
      </c>
      <c r="E66" t="s">
        <v>94</v>
      </c>
      <c r="F66" t="s">
        <v>343</v>
      </c>
      <c r="G66" s="1">
        <v>46033</v>
      </c>
      <c r="H66" t="s">
        <v>118</v>
      </c>
      <c r="I66" t="s">
        <v>119</v>
      </c>
      <c r="J66" t="s">
        <v>98</v>
      </c>
      <c r="K66" t="s">
        <v>120</v>
      </c>
      <c r="L66" s="2">
        <v>9</v>
      </c>
      <c r="M66" s="2">
        <v>40819</v>
      </c>
      <c r="N66">
        <v>22</v>
      </c>
      <c r="O66" s="2">
        <v>286549.38</v>
      </c>
      <c r="P66" s="2">
        <v>172620.84</v>
      </c>
      <c r="Q66" s="2">
        <v>113928.54</v>
      </c>
      <c r="R66" t="s">
        <v>88</v>
      </c>
      <c r="S66" t="s">
        <v>89</v>
      </c>
      <c r="T66" t="s">
        <v>90</v>
      </c>
      <c r="U66" t="s">
        <v>36</v>
      </c>
      <c r="V66" t="s">
        <v>37</v>
      </c>
      <c r="W66" t="s">
        <v>67</v>
      </c>
      <c r="X66" t="s">
        <v>51</v>
      </c>
    </row>
    <row r="67" spans="1:24" x14ac:dyDescent="0.25">
      <c r="A67" t="s">
        <v>344</v>
      </c>
      <c r="B67" t="s">
        <v>345</v>
      </c>
      <c r="C67" t="s">
        <v>70</v>
      </c>
      <c r="D67" t="s">
        <v>71</v>
      </c>
      <c r="E67" t="s">
        <v>56</v>
      </c>
      <c r="F67" t="s">
        <v>346</v>
      </c>
      <c r="G67" s="1">
        <v>45767</v>
      </c>
      <c r="H67" t="s">
        <v>183</v>
      </c>
      <c r="I67" t="s">
        <v>184</v>
      </c>
      <c r="J67" t="s">
        <v>86</v>
      </c>
      <c r="K67" t="s">
        <v>120</v>
      </c>
      <c r="L67" s="2">
        <v>7</v>
      </c>
      <c r="M67" s="2">
        <v>34858</v>
      </c>
      <c r="N67">
        <v>7</v>
      </c>
      <c r="O67" s="2">
        <v>226925.58</v>
      </c>
      <c r="P67" s="2">
        <v>143579.48000000001</v>
      </c>
      <c r="Q67" s="2">
        <v>83346.100000000006</v>
      </c>
      <c r="R67" t="s">
        <v>110</v>
      </c>
      <c r="S67" t="s">
        <v>100</v>
      </c>
      <c r="T67" t="s">
        <v>101</v>
      </c>
      <c r="U67" t="s">
        <v>36</v>
      </c>
      <c r="V67" t="s">
        <v>79</v>
      </c>
      <c r="W67" t="s">
        <v>80</v>
      </c>
      <c r="X67" t="s">
        <v>39</v>
      </c>
    </row>
    <row r="68" spans="1:24" x14ac:dyDescent="0.25">
      <c r="A68" t="s">
        <v>347</v>
      </c>
      <c r="B68" t="s">
        <v>348</v>
      </c>
      <c r="C68" t="s">
        <v>104</v>
      </c>
      <c r="D68" t="s">
        <v>105</v>
      </c>
      <c r="E68" t="s">
        <v>94</v>
      </c>
      <c r="F68" t="s">
        <v>349</v>
      </c>
      <c r="G68" s="1">
        <v>46119</v>
      </c>
      <c r="H68" t="s">
        <v>183</v>
      </c>
      <c r="I68" t="s">
        <v>184</v>
      </c>
      <c r="J68" t="s">
        <v>86</v>
      </c>
      <c r="K68" t="s">
        <v>120</v>
      </c>
      <c r="L68" s="2">
        <v>17</v>
      </c>
      <c r="M68" s="2">
        <v>25754</v>
      </c>
      <c r="N68">
        <v>9</v>
      </c>
      <c r="O68" s="2">
        <v>398414.38</v>
      </c>
      <c r="P68" s="2">
        <v>286254.34999999998</v>
      </c>
      <c r="Q68" s="2">
        <v>112160.03</v>
      </c>
      <c r="R68" t="s">
        <v>33</v>
      </c>
      <c r="S68" t="s">
        <v>111</v>
      </c>
      <c r="T68" t="s">
        <v>112</v>
      </c>
      <c r="U68" t="s">
        <v>113</v>
      </c>
      <c r="V68" t="s">
        <v>114</v>
      </c>
      <c r="W68" t="s">
        <v>38</v>
      </c>
      <c r="X68" t="s">
        <v>51</v>
      </c>
    </row>
    <row r="69" spans="1:24" x14ac:dyDescent="0.25">
      <c r="A69" t="s">
        <v>350</v>
      </c>
      <c r="B69" t="s">
        <v>351</v>
      </c>
      <c r="C69" t="s">
        <v>149</v>
      </c>
      <c r="D69" t="s">
        <v>149</v>
      </c>
      <c r="E69" t="s">
        <v>27</v>
      </c>
      <c r="F69" t="s">
        <v>352</v>
      </c>
      <c r="G69" s="1">
        <v>46055</v>
      </c>
      <c r="H69" t="s">
        <v>319</v>
      </c>
      <c r="I69" t="s">
        <v>320</v>
      </c>
      <c r="J69" t="s">
        <v>60</v>
      </c>
      <c r="K69" t="s">
        <v>99</v>
      </c>
      <c r="L69" s="2">
        <v>6</v>
      </c>
      <c r="M69" s="2">
        <v>42947</v>
      </c>
      <c r="N69">
        <v>12</v>
      </c>
      <c r="O69" s="2">
        <v>226760.16</v>
      </c>
      <c r="P69" s="2">
        <v>163472.81</v>
      </c>
      <c r="Q69" s="2">
        <v>63287.35</v>
      </c>
      <c r="R69" t="s">
        <v>62</v>
      </c>
      <c r="S69" t="s">
        <v>121</v>
      </c>
      <c r="T69" t="s">
        <v>122</v>
      </c>
      <c r="U69" t="s">
        <v>65</v>
      </c>
      <c r="V69" t="s">
        <v>151</v>
      </c>
      <c r="W69" t="s">
        <v>80</v>
      </c>
      <c r="X69" t="s">
        <v>51</v>
      </c>
    </row>
    <row r="70" spans="1:24" x14ac:dyDescent="0.25">
      <c r="A70" t="s">
        <v>353</v>
      </c>
      <c r="B70" t="s">
        <v>354</v>
      </c>
      <c r="C70" t="s">
        <v>25</v>
      </c>
      <c r="D70" t="s">
        <v>26</v>
      </c>
      <c r="E70" t="s">
        <v>56</v>
      </c>
      <c r="F70" t="s">
        <v>355</v>
      </c>
      <c r="G70" s="1">
        <v>46121</v>
      </c>
      <c r="H70" t="s">
        <v>133</v>
      </c>
      <c r="I70" t="s">
        <v>134</v>
      </c>
      <c r="J70" t="s">
        <v>60</v>
      </c>
      <c r="K70" t="s">
        <v>135</v>
      </c>
      <c r="L70" s="2">
        <v>12</v>
      </c>
      <c r="M70" s="2">
        <v>2415</v>
      </c>
      <c r="N70">
        <v>24</v>
      </c>
      <c r="O70" s="2">
        <v>22024.799999999999</v>
      </c>
      <c r="P70" s="2">
        <v>12595.51</v>
      </c>
      <c r="Q70" s="2">
        <v>9429.2900000000009</v>
      </c>
      <c r="R70" t="s">
        <v>33</v>
      </c>
      <c r="S70" t="s">
        <v>128</v>
      </c>
      <c r="T70" t="s">
        <v>129</v>
      </c>
      <c r="U70" t="s">
        <v>36</v>
      </c>
      <c r="V70" t="s">
        <v>37</v>
      </c>
      <c r="W70" t="s">
        <v>80</v>
      </c>
      <c r="X70" t="s">
        <v>51</v>
      </c>
    </row>
    <row r="71" spans="1:24" x14ac:dyDescent="0.25">
      <c r="A71" t="s">
        <v>356</v>
      </c>
      <c r="B71" t="s">
        <v>357</v>
      </c>
      <c r="C71" t="s">
        <v>25</v>
      </c>
      <c r="D71" t="s">
        <v>26</v>
      </c>
      <c r="E71" t="s">
        <v>27</v>
      </c>
      <c r="F71" t="s">
        <v>358</v>
      </c>
      <c r="G71" s="1">
        <v>45992</v>
      </c>
      <c r="H71" t="s">
        <v>241</v>
      </c>
      <c r="I71" t="s">
        <v>242</v>
      </c>
      <c r="J71" t="s">
        <v>98</v>
      </c>
      <c r="K71" t="s">
        <v>32</v>
      </c>
      <c r="L71" s="2">
        <v>6</v>
      </c>
      <c r="M71" s="2">
        <v>12574</v>
      </c>
      <c r="N71">
        <v>17</v>
      </c>
      <c r="O71" s="2">
        <v>62618.52</v>
      </c>
      <c r="P71" s="2">
        <v>43184.77</v>
      </c>
      <c r="Q71" s="2">
        <v>19433.75</v>
      </c>
      <c r="R71" t="s">
        <v>33</v>
      </c>
      <c r="S71" t="s">
        <v>136</v>
      </c>
      <c r="T71" t="s">
        <v>137</v>
      </c>
      <c r="U71" t="s">
        <v>36</v>
      </c>
      <c r="V71" t="s">
        <v>37</v>
      </c>
      <c r="W71" t="s">
        <v>67</v>
      </c>
      <c r="X71" t="s">
        <v>39</v>
      </c>
    </row>
    <row r="72" spans="1:24" x14ac:dyDescent="0.25">
      <c r="A72" t="s">
        <v>359</v>
      </c>
      <c r="B72" t="s">
        <v>360</v>
      </c>
      <c r="C72" t="s">
        <v>187</v>
      </c>
      <c r="D72" t="s">
        <v>188</v>
      </c>
      <c r="E72" t="s">
        <v>27</v>
      </c>
      <c r="F72" t="s">
        <v>361</v>
      </c>
      <c r="G72" s="1">
        <v>45777</v>
      </c>
      <c r="H72" t="s">
        <v>126</v>
      </c>
      <c r="I72" t="s">
        <v>127</v>
      </c>
      <c r="J72" t="s">
        <v>98</v>
      </c>
      <c r="K72" t="s">
        <v>47</v>
      </c>
      <c r="L72" s="2">
        <v>16</v>
      </c>
      <c r="M72" s="2">
        <v>10016</v>
      </c>
      <c r="N72">
        <v>22</v>
      </c>
      <c r="O72" s="2">
        <v>124999.67999999999</v>
      </c>
      <c r="P72" s="2">
        <v>69986</v>
      </c>
      <c r="Q72" s="2">
        <v>55013.68</v>
      </c>
      <c r="R72" t="s">
        <v>88</v>
      </c>
      <c r="S72" t="s">
        <v>34</v>
      </c>
      <c r="T72" t="s">
        <v>35</v>
      </c>
      <c r="U72" t="s">
        <v>65</v>
      </c>
      <c r="V72" t="s">
        <v>190</v>
      </c>
      <c r="W72" t="s">
        <v>67</v>
      </c>
      <c r="X72" t="s">
        <v>39</v>
      </c>
    </row>
    <row r="73" spans="1:24" x14ac:dyDescent="0.25">
      <c r="A73" t="s">
        <v>362</v>
      </c>
      <c r="B73" t="s">
        <v>363</v>
      </c>
      <c r="C73" t="s">
        <v>25</v>
      </c>
      <c r="D73" t="s">
        <v>26</v>
      </c>
      <c r="E73" t="s">
        <v>94</v>
      </c>
      <c r="F73" t="s">
        <v>364</v>
      </c>
      <c r="G73" s="1">
        <v>46188</v>
      </c>
      <c r="H73" t="s">
        <v>324</v>
      </c>
      <c r="I73" t="s">
        <v>325</v>
      </c>
      <c r="J73" t="s">
        <v>46</v>
      </c>
      <c r="K73" t="s">
        <v>61</v>
      </c>
      <c r="L73" s="2">
        <v>19</v>
      </c>
      <c r="M73" s="2">
        <v>12724</v>
      </c>
      <c r="N73">
        <v>16</v>
      </c>
      <c r="O73" s="2">
        <v>203075.04</v>
      </c>
      <c r="P73" s="2">
        <v>136271.10999999999</v>
      </c>
      <c r="Q73" s="2">
        <v>66803.929999999993</v>
      </c>
      <c r="R73" t="s">
        <v>62</v>
      </c>
      <c r="S73" t="s">
        <v>48</v>
      </c>
      <c r="T73" t="s">
        <v>49</v>
      </c>
      <c r="U73" t="s">
        <v>36</v>
      </c>
      <c r="V73" t="s">
        <v>37</v>
      </c>
      <c r="W73" t="s">
        <v>91</v>
      </c>
      <c r="X73" t="s">
        <v>39</v>
      </c>
    </row>
    <row r="74" spans="1:24" x14ac:dyDescent="0.25">
      <c r="A74" t="s">
        <v>365</v>
      </c>
      <c r="B74" t="s">
        <v>366</v>
      </c>
      <c r="C74" t="s">
        <v>149</v>
      </c>
      <c r="D74" t="s">
        <v>149</v>
      </c>
      <c r="E74" t="s">
        <v>56</v>
      </c>
      <c r="F74" t="s">
        <v>367</v>
      </c>
      <c r="G74" s="1">
        <v>45878</v>
      </c>
      <c r="H74" t="s">
        <v>241</v>
      </c>
      <c r="I74" t="s">
        <v>242</v>
      </c>
      <c r="J74" t="s">
        <v>98</v>
      </c>
      <c r="K74" t="s">
        <v>32</v>
      </c>
      <c r="L74" s="2">
        <v>11</v>
      </c>
      <c r="M74" s="2">
        <v>14750</v>
      </c>
      <c r="N74">
        <v>30</v>
      </c>
      <c r="O74" s="2">
        <v>113575</v>
      </c>
      <c r="P74" s="2">
        <v>63329.65</v>
      </c>
      <c r="Q74" s="2">
        <v>50245.35</v>
      </c>
      <c r="R74" t="s">
        <v>110</v>
      </c>
      <c r="S74" t="s">
        <v>63</v>
      </c>
      <c r="T74" t="s">
        <v>64</v>
      </c>
      <c r="U74" t="s">
        <v>65</v>
      </c>
      <c r="V74" t="s">
        <v>151</v>
      </c>
      <c r="W74" t="s">
        <v>67</v>
      </c>
      <c r="X74" t="s">
        <v>39</v>
      </c>
    </row>
    <row r="75" spans="1:24" x14ac:dyDescent="0.25">
      <c r="A75" t="s">
        <v>368</v>
      </c>
      <c r="B75" t="s">
        <v>369</v>
      </c>
      <c r="C75" t="s">
        <v>42</v>
      </c>
      <c r="D75" t="s">
        <v>26</v>
      </c>
      <c r="E75" t="s">
        <v>27</v>
      </c>
      <c r="F75" t="s">
        <v>370</v>
      </c>
      <c r="G75" s="1">
        <v>45983</v>
      </c>
      <c r="H75" t="s">
        <v>183</v>
      </c>
      <c r="I75" t="s">
        <v>184</v>
      </c>
      <c r="J75" t="s">
        <v>86</v>
      </c>
      <c r="K75" t="s">
        <v>120</v>
      </c>
      <c r="L75" s="2">
        <v>1</v>
      </c>
      <c r="M75" s="2">
        <v>34407</v>
      </c>
      <c r="N75">
        <v>7</v>
      </c>
      <c r="O75" s="2">
        <v>31998.51</v>
      </c>
      <c r="P75" s="2">
        <v>23422.45</v>
      </c>
      <c r="Q75" s="2">
        <v>8576.06</v>
      </c>
      <c r="R75" t="s">
        <v>76</v>
      </c>
      <c r="S75" t="s">
        <v>77</v>
      </c>
      <c r="T75" t="s">
        <v>78</v>
      </c>
      <c r="U75" t="s">
        <v>36</v>
      </c>
      <c r="V75" t="s">
        <v>50</v>
      </c>
      <c r="W75" t="s">
        <v>80</v>
      </c>
      <c r="X75" t="s">
        <v>51</v>
      </c>
    </row>
    <row r="76" spans="1:24" x14ac:dyDescent="0.25">
      <c r="A76" t="s">
        <v>371</v>
      </c>
      <c r="B76" t="s">
        <v>372</v>
      </c>
      <c r="C76" t="s">
        <v>25</v>
      </c>
      <c r="D76" t="s">
        <v>26</v>
      </c>
      <c r="E76" t="s">
        <v>94</v>
      </c>
      <c r="F76" t="s">
        <v>373</v>
      </c>
      <c r="G76" s="1">
        <v>46112</v>
      </c>
      <c r="H76" t="s">
        <v>133</v>
      </c>
      <c r="I76" t="s">
        <v>134</v>
      </c>
      <c r="J76" t="s">
        <v>60</v>
      </c>
      <c r="K76" t="s">
        <v>135</v>
      </c>
      <c r="L76" s="2">
        <v>18</v>
      </c>
      <c r="M76" s="2">
        <v>30667</v>
      </c>
      <c r="N76">
        <v>13</v>
      </c>
      <c r="O76" s="2">
        <v>480245.22</v>
      </c>
      <c r="P76" s="2">
        <v>241016.2</v>
      </c>
      <c r="Q76" s="2">
        <v>239229.02</v>
      </c>
      <c r="R76" t="s">
        <v>110</v>
      </c>
      <c r="S76" t="s">
        <v>89</v>
      </c>
      <c r="T76" t="s">
        <v>90</v>
      </c>
      <c r="U76" t="s">
        <v>36</v>
      </c>
      <c r="V76" t="s">
        <v>37</v>
      </c>
      <c r="W76" t="s">
        <v>38</v>
      </c>
      <c r="X76" t="s">
        <v>51</v>
      </c>
    </row>
    <row r="77" spans="1:24" x14ac:dyDescent="0.25">
      <c r="A77" t="s">
        <v>374</v>
      </c>
      <c r="B77" t="s">
        <v>375</v>
      </c>
      <c r="C77" t="s">
        <v>159</v>
      </c>
      <c r="D77" t="s">
        <v>160</v>
      </c>
      <c r="E77" t="s">
        <v>94</v>
      </c>
      <c r="F77" t="s">
        <v>376</v>
      </c>
      <c r="G77" s="1">
        <v>45665</v>
      </c>
      <c r="H77" t="s">
        <v>199</v>
      </c>
      <c r="I77" t="s">
        <v>200</v>
      </c>
      <c r="J77" t="s">
        <v>46</v>
      </c>
      <c r="K77" t="s">
        <v>61</v>
      </c>
      <c r="L77" s="2">
        <v>6</v>
      </c>
      <c r="M77" s="2">
        <v>25340</v>
      </c>
      <c r="N77">
        <v>13</v>
      </c>
      <c r="O77" s="2">
        <v>132274.79999999999</v>
      </c>
      <c r="P77" s="2">
        <v>80544.58</v>
      </c>
      <c r="Q77" s="2">
        <v>51730.22</v>
      </c>
      <c r="R77" t="s">
        <v>62</v>
      </c>
      <c r="S77" t="s">
        <v>100</v>
      </c>
      <c r="T77" t="s">
        <v>101</v>
      </c>
      <c r="U77" t="s">
        <v>113</v>
      </c>
      <c r="V77" t="s">
        <v>162</v>
      </c>
      <c r="W77" t="s">
        <v>38</v>
      </c>
      <c r="X77" t="s">
        <v>51</v>
      </c>
    </row>
    <row r="78" spans="1:24" x14ac:dyDescent="0.25">
      <c r="A78" t="s">
        <v>377</v>
      </c>
      <c r="B78" t="s">
        <v>378</v>
      </c>
      <c r="C78" t="s">
        <v>70</v>
      </c>
      <c r="D78" t="s">
        <v>71</v>
      </c>
      <c r="E78" t="s">
        <v>56</v>
      </c>
      <c r="F78" t="s">
        <v>379</v>
      </c>
      <c r="G78" s="1">
        <v>45665</v>
      </c>
      <c r="H78" t="s">
        <v>319</v>
      </c>
      <c r="I78" t="s">
        <v>320</v>
      </c>
      <c r="J78" t="s">
        <v>60</v>
      </c>
      <c r="K78" t="s">
        <v>99</v>
      </c>
      <c r="L78" s="2">
        <v>12</v>
      </c>
      <c r="M78" s="2">
        <v>22935</v>
      </c>
      <c r="N78">
        <v>22</v>
      </c>
      <c r="O78" s="2">
        <v>214671.6</v>
      </c>
      <c r="P78" s="2">
        <v>174330.77</v>
      </c>
      <c r="Q78" s="2">
        <v>40340.83</v>
      </c>
      <c r="R78" t="s">
        <v>62</v>
      </c>
      <c r="S78" t="s">
        <v>111</v>
      </c>
      <c r="T78" t="s">
        <v>112</v>
      </c>
      <c r="U78" t="s">
        <v>36</v>
      </c>
      <c r="V78" t="s">
        <v>79</v>
      </c>
      <c r="W78" t="s">
        <v>38</v>
      </c>
      <c r="X78" t="s">
        <v>39</v>
      </c>
    </row>
    <row r="79" spans="1:24" x14ac:dyDescent="0.25">
      <c r="A79" t="s">
        <v>380</v>
      </c>
      <c r="B79" t="s">
        <v>381</v>
      </c>
      <c r="C79" t="s">
        <v>196</v>
      </c>
      <c r="D79" t="s">
        <v>197</v>
      </c>
      <c r="E79" t="s">
        <v>56</v>
      </c>
      <c r="F79" t="s">
        <v>382</v>
      </c>
      <c r="G79" s="1">
        <v>45751</v>
      </c>
      <c r="H79" t="s">
        <v>29</v>
      </c>
      <c r="I79" t="s">
        <v>30</v>
      </c>
      <c r="J79" t="s">
        <v>31</v>
      </c>
      <c r="K79" t="s">
        <v>32</v>
      </c>
      <c r="L79" s="2">
        <v>12</v>
      </c>
      <c r="M79" s="2">
        <v>40367</v>
      </c>
      <c r="N79">
        <v>5</v>
      </c>
      <c r="O79" s="2">
        <v>460183.8</v>
      </c>
      <c r="P79" s="2">
        <v>358278.68</v>
      </c>
      <c r="Q79" s="2">
        <v>101905.12</v>
      </c>
      <c r="R79" t="s">
        <v>88</v>
      </c>
      <c r="S79" t="s">
        <v>121</v>
      </c>
      <c r="T79" t="s">
        <v>122</v>
      </c>
      <c r="U79" t="s">
        <v>201</v>
      </c>
      <c r="V79" t="s">
        <v>202</v>
      </c>
      <c r="W79" t="s">
        <v>80</v>
      </c>
      <c r="X79" t="s">
        <v>39</v>
      </c>
    </row>
    <row r="80" spans="1:24" x14ac:dyDescent="0.25">
      <c r="A80" t="s">
        <v>383</v>
      </c>
      <c r="B80" t="s">
        <v>384</v>
      </c>
      <c r="C80" t="s">
        <v>187</v>
      </c>
      <c r="D80" t="s">
        <v>188</v>
      </c>
      <c r="E80" t="s">
        <v>56</v>
      </c>
      <c r="F80" t="s">
        <v>385</v>
      </c>
      <c r="G80" s="1">
        <v>46153</v>
      </c>
      <c r="H80" t="s">
        <v>199</v>
      </c>
      <c r="I80" t="s">
        <v>200</v>
      </c>
      <c r="J80" t="s">
        <v>46</v>
      </c>
      <c r="K80" t="s">
        <v>61</v>
      </c>
      <c r="L80" s="2">
        <v>17</v>
      </c>
      <c r="M80" s="2">
        <v>14931</v>
      </c>
      <c r="N80">
        <v>1</v>
      </c>
      <c r="O80" s="2">
        <v>251288.73</v>
      </c>
      <c r="P80" s="2">
        <v>130663.03</v>
      </c>
      <c r="Q80" s="2">
        <v>120625.7</v>
      </c>
      <c r="R80" t="s">
        <v>88</v>
      </c>
      <c r="S80" t="s">
        <v>128</v>
      </c>
      <c r="T80" t="s">
        <v>129</v>
      </c>
      <c r="U80" t="s">
        <v>65</v>
      </c>
      <c r="V80" t="s">
        <v>190</v>
      </c>
      <c r="W80" t="s">
        <v>80</v>
      </c>
      <c r="X80" t="s">
        <v>51</v>
      </c>
    </row>
    <row r="81" spans="1:24" x14ac:dyDescent="0.25">
      <c r="A81" t="s">
        <v>386</v>
      </c>
      <c r="B81" t="s">
        <v>387</v>
      </c>
      <c r="C81" t="s">
        <v>165</v>
      </c>
      <c r="D81" t="s">
        <v>166</v>
      </c>
      <c r="E81" t="s">
        <v>56</v>
      </c>
      <c r="F81" t="s">
        <v>388</v>
      </c>
      <c r="G81" s="1">
        <v>45704</v>
      </c>
      <c r="H81" t="s">
        <v>44</v>
      </c>
      <c r="I81" t="s">
        <v>45</v>
      </c>
      <c r="J81" t="s">
        <v>46</v>
      </c>
      <c r="K81" t="s">
        <v>47</v>
      </c>
      <c r="L81" s="2">
        <v>20</v>
      </c>
      <c r="M81" s="2">
        <v>39789</v>
      </c>
      <c r="N81">
        <v>11</v>
      </c>
      <c r="O81" s="2">
        <v>708244.2</v>
      </c>
      <c r="P81" s="2">
        <v>414234.13</v>
      </c>
      <c r="Q81" s="2">
        <v>294010.07</v>
      </c>
      <c r="R81" t="s">
        <v>62</v>
      </c>
      <c r="S81" t="s">
        <v>136</v>
      </c>
      <c r="T81" t="s">
        <v>137</v>
      </c>
      <c r="U81" t="s">
        <v>113</v>
      </c>
      <c r="V81" t="s">
        <v>168</v>
      </c>
      <c r="W81" t="s">
        <v>80</v>
      </c>
      <c r="X81" t="s">
        <v>51</v>
      </c>
    </row>
    <row r="82" spans="1:24" x14ac:dyDescent="0.25">
      <c r="A82" t="s">
        <v>389</v>
      </c>
      <c r="B82" t="s">
        <v>390</v>
      </c>
      <c r="C82" t="s">
        <v>165</v>
      </c>
      <c r="D82" t="s">
        <v>166</v>
      </c>
      <c r="E82" t="s">
        <v>56</v>
      </c>
      <c r="F82" t="s">
        <v>391</v>
      </c>
      <c r="G82" s="1">
        <v>45872</v>
      </c>
      <c r="H82" t="s">
        <v>96</v>
      </c>
      <c r="I82" t="s">
        <v>97</v>
      </c>
      <c r="J82" t="s">
        <v>98</v>
      </c>
      <c r="K82" t="s">
        <v>99</v>
      </c>
      <c r="L82" s="2">
        <v>18</v>
      </c>
      <c r="M82" s="2">
        <v>22501</v>
      </c>
      <c r="N82">
        <v>13</v>
      </c>
      <c r="O82" s="2">
        <v>352365.66</v>
      </c>
      <c r="P82" s="2">
        <v>199881.21</v>
      </c>
      <c r="Q82" s="2">
        <v>152484.45000000001</v>
      </c>
      <c r="R82" t="s">
        <v>110</v>
      </c>
      <c r="S82" t="s">
        <v>34</v>
      </c>
      <c r="T82" t="s">
        <v>35</v>
      </c>
      <c r="U82" t="s">
        <v>113</v>
      </c>
      <c r="V82" t="s">
        <v>168</v>
      </c>
      <c r="W82" t="s">
        <v>38</v>
      </c>
      <c r="X82" t="s">
        <v>39</v>
      </c>
    </row>
    <row r="83" spans="1:24" x14ac:dyDescent="0.25">
      <c r="A83" t="s">
        <v>392</v>
      </c>
      <c r="B83" t="s">
        <v>393</v>
      </c>
      <c r="C83" t="s">
        <v>196</v>
      </c>
      <c r="D83" t="s">
        <v>197</v>
      </c>
      <c r="E83" t="s">
        <v>27</v>
      </c>
      <c r="F83" t="s">
        <v>394</v>
      </c>
      <c r="G83" s="1">
        <v>46035</v>
      </c>
      <c r="H83" t="s">
        <v>324</v>
      </c>
      <c r="I83" t="s">
        <v>325</v>
      </c>
      <c r="J83" t="s">
        <v>46</v>
      </c>
      <c r="K83" t="s">
        <v>61</v>
      </c>
      <c r="L83" s="2">
        <v>5</v>
      </c>
      <c r="M83" s="2">
        <v>5090</v>
      </c>
      <c r="N83">
        <v>23</v>
      </c>
      <c r="O83" s="2">
        <v>19596.5</v>
      </c>
      <c r="P83" s="2">
        <v>15184.32</v>
      </c>
      <c r="Q83" s="2">
        <v>4412.18</v>
      </c>
      <c r="R83" t="s">
        <v>110</v>
      </c>
      <c r="S83" t="s">
        <v>48</v>
      </c>
      <c r="T83" t="s">
        <v>49</v>
      </c>
      <c r="U83" t="s">
        <v>201</v>
      </c>
      <c r="V83" t="s">
        <v>202</v>
      </c>
      <c r="W83" t="s">
        <v>38</v>
      </c>
      <c r="X83" t="s">
        <v>39</v>
      </c>
    </row>
    <row r="84" spans="1:24" x14ac:dyDescent="0.25">
      <c r="A84" t="s">
        <v>395</v>
      </c>
      <c r="B84" t="s">
        <v>396</v>
      </c>
      <c r="C84" t="s">
        <v>70</v>
      </c>
      <c r="D84" t="s">
        <v>71</v>
      </c>
      <c r="E84" t="s">
        <v>56</v>
      </c>
      <c r="F84" t="s">
        <v>397</v>
      </c>
      <c r="G84" s="1">
        <v>46076</v>
      </c>
      <c r="H84" t="s">
        <v>155</v>
      </c>
      <c r="I84" t="s">
        <v>156</v>
      </c>
      <c r="J84" t="s">
        <v>109</v>
      </c>
      <c r="K84" t="s">
        <v>32</v>
      </c>
      <c r="L84" s="2">
        <v>7</v>
      </c>
      <c r="M84" s="2">
        <v>9320</v>
      </c>
      <c r="N84">
        <v>25</v>
      </c>
      <c r="O84" s="2">
        <v>48930</v>
      </c>
      <c r="P84" s="2">
        <v>26134.34</v>
      </c>
      <c r="Q84" s="2">
        <v>22795.66</v>
      </c>
      <c r="R84" t="s">
        <v>88</v>
      </c>
      <c r="S84" t="s">
        <v>63</v>
      </c>
      <c r="T84" t="s">
        <v>64</v>
      </c>
      <c r="U84" t="s">
        <v>36</v>
      </c>
      <c r="V84" t="s">
        <v>79</v>
      </c>
      <c r="W84" t="s">
        <v>80</v>
      </c>
      <c r="X84" t="s">
        <v>51</v>
      </c>
    </row>
    <row r="85" spans="1:24" x14ac:dyDescent="0.25">
      <c r="A85" t="s">
        <v>398</v>
      </c>
      <c r="B85" t="s">
        <v>399</v>
      </c>
      <c r="C85" t="s">
        <v>159</v>
      </c>
      <c r="D85" t="s">
        <v>160</v>
      </c>
      <c r="E85" t="s">
        <v>27</v>
      </c>
      <c r="F85" t="s">
        <v>400</v>
      </c>
      <c r="G85" s="1">
        <v>45669</v>
      </c>
      <c r="H85" t="s">
        <v>155</v>
      </c>
      <c r="I85" t="s">
        <v>156</v>
      </c>
      <c r="J85" t="s">
        <v>109</v>
      </c>
      <c r="K85" t="s">
        <v>32</v>
      </c>
      <c r="L85" s="2">
        <v>20</v>
      </c>
      <c r="M85" s="2">
        <v>23364</v>
      </c>
      <c r="N85">
        <v>23</v>
      </c>
      <c r="O85" s="2">
        <v>359805.6</v>
      </c>
      <c r="P85" s="2">
        <v>221618.57</v>
      </c>
      <c r="Q85" s="2">
        <v>138187.03</v>
      </c>
      <c r="R85" t="s">
        <v>33</v>
      </c>
      <c r="S85" t="s">
        <v>77</v>
      </c>
      <c r="T85" t="s">
        <v>78</v>
      </c>
      <c r="U85" t="s">
        <v>113</v>
      </c>
      <c r="V85" t="s">
        <v>162</v>
      </c>
      <c r="W85" t="s">
        <v>80</v>
      </c>
      <c r="X85" t="s">
        <v>39</v>
      </c>
    </row>
    <row r="86" spans="1:24" x14ac:dyDescent="0.25">
      <c r="A86" t="s">
        <v>401</v>
      </c>
      <c r="B86" t="s">
        <v>402</v>
      </c>
      <c r="C86" t="s">
        <v>25</v>
      </c>
      <c r="D86" t="s">
        <v>26</v>
      </c>
      <c r="E86" t="s">
        <v>56</v>
      </c>
      <c r="F86" t="s">
        <v>403</v>
      </c>
      <c r="G86" s="1">
        <v>45757</v>
      </c>
      <c r="H86" t="s">
        <v>404</v>
      </c>
      <c r="I86" t="s">
        <v>405</v>
      </c>
      <c r="J86" t="s">
        <v>109</v>
      </c>
      <c r="K86" t="s">
        <v>61</v>
      </c>
      <c r="L86" s="2">
        <v>10</v>
      </c>
      <c r="M86" s="2">
        <v>16276</v>
      </c>
      <c r="N86">
        <v>12</v>
      </c>
      <c r="O86" s="2">
        <v>143228.79999999999</v>
      </c>
      <c r="P86" s="2">
        <v>113423.89</v>
      </c>
      <c r="Q86" s="2">
        <v>29804.91</v>
      </c>
      <c r="R86" t="s">
        <v>62</v>
      </c>
      <c r="S86" t="s">
        <v>89</v>
      </c>
      <c r="T86" t="s">
        <v>90</v>
      </c>
      <c r="U86" t="s">
        <v>36</v>
      </c>
      <c r="V86" t="s">
        <v>37</v>
      </c>
      <c r="W86" t="s">
        <v>38</v>
      </c>
      <c r="X86" t="s">
        <v>39</v>
      </c>
    </row>
    <row r="87" spans="1:24" x14ac:dyDescent="0.25">
      <c r="A87" t="s">
        <v>406</v>
      </c>
      <c r="B87" t="s">
        <v>407</v>
      </c>
      <c r="C87" t="s">
        <v>54</v>
      </c>
      <c r="D87" t="s">
        <v>55</v>
      </c>
      <c r="E87" t="s">
        <v>27</v>
      </c>
      <c r="F87" t="s">
        <v>408</v>
      </c>
      <c r="G87" s="1">
        <v>46045</v>
      </c>
      <c r="H87" t="s">
        <v>324</v>
      </c>
      <c r="I87" t="s">
        <v>325</v>
      </c>
      <c r="J87" t="s">
        <v>46</v>
      </c>
      <c r="K87" t="s">
        <v>61</v>
      </c>
      <c r="L87" s="2">
        <v>5</v>
      </c>
      <c r="M87" s="2">
        <v>1546</v>
      </c>
      <c r="N87">
        <v>10</v>
      </c>
      <c r="O87" s="2">
        <v>6957</v>
      </c>
      <c r="P87" s="2">
        <v>5458.69</v>
      </c>
      <c r="Q87" s="2">
        <v>1498.31</v>
      </c>
      <c r="R87" t="s">
        <v>33</v>
      </c>
      <c r="S87" t="s">
        <v>100</v>
      </c>
      <c r="T87" t="s">
        <v>101</v>
      </c>
      <c r="U87" t="s">
        <v>65</v>
      </c>
      <c r="V87" t="s">
        <v>66</v>
      </c>
      <c r="W87" t="s">
        <v>80</v>
      </c>
      <c r="X87" t="s">
        <v>51</v>
      </c>
    </row>
    <row r="88" spans="1:24" x14ac:dyDescent="0.25">
      <c r="A88" t="s">
        <v>409</v>
      </c>
      <c r="B88" t="s">
        <v>410</v>
      </c>
      <c r="C88" t="s">
        <v>187</v>
      </c>
      <c r="D88" t="s">
        <v>188</v>
      </c>
      <c r="E88" t="s">
        <v>27</v>
      </c>
      <c r="F88" t="s">
        <v>411</v>
      </c>
      <c r="G88" s="1">
        <v>45931</v>
      </c>
      <c r="H88" t="s">
        <v>404</v>
      </c>
      <c r="I88" t="s">
        <v>405</v>
      </c>
      <c r="J88" t="s">
        <v>109</v>
      </c>
      <c r="K88" t="s">
        <v>61</v>
      </c>
      <c r="L88" s="2">
        <v>16</v>
      </c>
      <c r="M88" s="2">
        <v>44236</v>
      </c>
      <c r="N88">
        <v>1</v>
      </c>
      <c r="O88" s="2">
        <v>700698.24</v>
      </c>
      <c r="P88" s="2">
        <v>352022.16</v>
      </c>
      <c r="Q88" s="2">
        <v>348676.08</v>
      </c>
      <c r="R88" t="s">
        <v>62</v>
      </c>
      <c r="S88" t="s">
        <v>111</v>
      </c>
      <c r="T88" t="s">
        <v>112</v>
      </c>
      <c r="U88" t="s">
        <v>65</v>
      </c>
      <c r="V88" t="s">
        <v>190</v>
      </c>
      <c r="W88" t="s">
        <v>67</v>
      </c>
      <c r="X88" t="s">
        <v>39</v>
      </c>
    </row>
    <row r="89" spans="1:24" x14ac:dyDescent="0.25">
      <c r="A89" t="s">
        <v>412</v>
      </c>
      <c r="B89" t="s">
        <v>413</v>
      </c>
      <c r="C89" t="s">
        <v>25</v>
      </c>
      <c r="D89" t="s">
        <v>26</v>
      </c>
      <c r="E89" t="s">
        <v>27</v>
      </c>
      <c r="F89" t="s">
        <v>414</v>
      </c>
      <c r="G89" s="1">
        <v>45815</v>
      </c>
      <c r="H89" t="s">
        <v>241</v>
      </c>
      <c r="I89" t="s">
        <v>242</v>
      </c>
      <c r="J89" t="s">
        <v>98</v>
      </c>
      <c r="K89" t="s">
        <v>32</v>
      </c>
      <c r="L89" s="2">
        <v>4</v>
      </c>
      <c r="M89" s="2">
        <v>20211</v>
      </c>
      <c r="N89">
        <v>24</v>
      </c>
      <c r="O89" s="2">
        <v>61441.440000000002</v>
      </c>
      <c r="P89" s="2">
        <v>47794.239999999998</v>
      </c>
      <c r="Q89" s="2">
        <v>13647.2</v>
      </c>
      <c r="R89" t="s">
        <v>33</v>
      </c>
      <c r="S89" t="s">
        <v>121</v>
      </c>
      <c r="T89" t="s">
        <v>122</v>
      </c>
      <c r="U89" t="s">
        <v>36</v>
      </c>
      <c r="V89" t="s">
        <v>37</v>
      </c>
      <c r="W89" t="s">
        <v>80</v>
      </c>
      <c r="X89" t="s">
        <v>51</v>
      </c>
    </row>
    <row r="90" spans="1:24" x14ac:dyDescent="0.25">
      <c r="A90" t="s">
        <v>415</v>
      </c>
      <c r="B90" t="s">
        <v>416</v>
      </c>
      <c r="C90" t="s">
        <v>104</v>
      </c>
      <c r="D90" t="s">
        <v>105</v>
      </c>
      <c r="E90" t="s">
        <v>56</v>
      </c>
      <c r="F90" t="s">
        <v>417</v>
      </c>
      <c r="G90" s="1">
        <v>45824</v>
      </c>
      <c r="H90" t="s">
        <v>220</v>
      </c>
      <c r="I90" t="s">
        <v>221</v>
      </c>
      <c r="J90" t="s">
        <v>86</v>
      </c>
      <c r="K90" t="s">
        <v>222</v>
      </c>
      <c r="L90" s="2">
        <v>1</v>
      </c>
      <c r="M90" s="2">
        <v>41061</v>
      </c>
      <c r="N90">
        <v>11</v>
      </c>
      <c r="O90" s="2">
        <v>36544.29</v>
      </c>
      <c r="P90" s="2">
        <v>20907.95</v>
      </c>
      <c r="Q90" s="2">
        <v>15636.34</v>
      </c>
      <c r="R90" t="s">
        <v>33</v>
      </c>
      <c r="S90" t="s">
        <v>128</v>
      </c>
      <c r="T90" t="s">
        <v>129</v>
      </c>
      <c r="U90" t="s">
        <v>113</v>
      </c>
      <c r="V90" t="s">
        <v>114</v>
      </c>
      <c r="W90" t="s">
        <v>91</v>
      </c>
      <c r="X90" t="s">
        <v>39</v>
      </c>
    </row>
    <row r="91" spans="1:24" x14ac:dyDescent="0.25">
      <c r="A91" t="s">
        <v>418</v>
      </c>
      <c r="B91" t="s">
        <v>419</v>
      </c>
      <c r="C91" t="s">
        <v>196</v>
      </c>
      <c r="D91" t="s">
        <v>197</v>
      </c>
      <c r="E91" t="s">
        <v>94</v>
      </c>
      <c r="F91" t="s">
        <v>420</v>
      </c>
      <c r="G91" s="1">
        <v>46051</v>
      </c>
      <c r="H91" t="s">
        <v>404</v>
      </c>
      <c r="I91" t="s">
        <v>405</v>
      </c>
      <c r="J91" t="s">
        <v>109</v>
      </c>
      <c r="K91" t="s">
        <v>61</v>
      </c>
      <c r="L91" s="2">
        <v>19</v>
      </c>
      <c r="M91" s="2">
        <v>14518</v>
      </c>
      <c r="N91">
        <v>1</v>
      </c>
      <c r="O91" s="2">
        <v>273083.58</v>
      </c>
      <c r="P91" s="2">
        <v>206576.42</v>
      </c>
      <c r="Q91" s="2">
        <v>66507.16</v>
      </c>
      <c r="R91" t="s">
        <v>110</v>
      </c>
      <c r="S91" t="s">
        <v>136</v>
      </c>
      <c r="T91" t="s">
        <v>137</v>
      </c>
      <c r="U91" t="s">
        <v>201</v>
      </c>
      <c r="V91" t="s">
        <v>202</v>
      </c>
      <c r="W91" t="s">
        <v>38</v>
      </c>
      <c r="X91" t="s">
        <v>39</v>
      </c>
    </row>
    <row r="92" spans="1:24" x14ac:dyDescent="0.25">
      <c r="A92" t="s">
        <v>421</v>
      </c>
      <c r="B92" t="s">
        <v>422</v>
      </c>
      <c r="C92" t="s">
        <v>187</v>
      </c>
      <c r="D92" t="s">
        <v>188</v>
      </c>
      <c r="E92" t="s">
        <v>56</v>
      </c>
      <c r="F92" t="s">
        <v>423</v>
      </c>
      <c r="G92" s="1">
        <v>45743</v>
      </c>
      <c r="H92" t="s">
        <v>58</v>
      </c>
      <c r="I92" t="s">
        <v>59</v>
      </c>
      <c r="J92" t="s">
        <v>60</v>
      </c>
      <c r="K92" t="s">
        <v>61</v>
      </c>
      <c r="L92" s="2">
        <v>12</v>
      </c>
      <c r="M92" s="2">
        <v>49908</v>
      </c>
      <c r="N92">
        <v>17</v>
      </c>
      <c r="O92" s="2">
        <v>497083.68</v>
      </c>
      <c r="P92" s="2">
        <v>291740.09999999998</v>
      </c>
      <c r="Q92" s="2">
        <v>205343.58</v>
      </c>
      <c r="R92" t="s">
        <v>76</v>
      </c>
      <c r="S92" t="s">
        <v>34</v>
      </c>
      <c r="T92" t="s">
        <v>35</v>
      </c>
      <c r="U92" t="s">
        <v>65</v>
      </c>
      <c r="V92" t="s">
        <v>190</v>
      </c>
      <c r="W92" t="s">
        <v>91</v>
      </c>
      <c r="X92" t="s">
        <v>39</v>
      </c>
    </row>
    <row r="93" spans="1:24" x14ac:dyDescent="0.25">
      <c r="A93" t="s">
        <v>424</v>
      </c>
      <c r="B93" t="s">
        <v>425</v>
      </c>
      <c r="C93" t="s">
        <v>165</v>
      </c>
      <c r="D93" t="s">
        <v>166</v>
      </c>
      <c r="E93" t="s">
        <v>94</v>
      </c>
      <c r="F93" t="s">
        <v>426</v>
      </c>
      <c r="G93" s="1">
        <v>46192</v>
      </c>
      <c r="H93" t="s">
        <v>404</v>
      </c>
      <c r="I93" t="s">
        <v>405</v>
      </c>
      <c r="J93" t="s">
        <v>109</v>
      </c>
      <c r="K93" t="s">
        <v>61</v>
      </c>
      <c r="L93" s="2">
        <v>6</v>
      </c>
      <c r="M93" s="2">
        <v>24505</v>
      </c>
      <c r="N93">
        <v>30</v>
      </c>
      <c r="O93" s="2">
        <v>102921</v>
      </c>
      <c r="P93" s="2">
        <v>57080.89</v>
      </c>
      <c r="Q93" s="2">
        <v>45840.11</v>
      </c>
      <c r="R93" t="s">
        <v>76</v>
      </c>
      <c r="S93" t="s">
        <v>48</v>
      </c>
      <c r="T93" t="s">
        <v>49</v>
      </c>
      <c r="U93" t="s">
        <v>113</v>
      </c>
      <c r="V93" t="s">
        <v>168</v>
      </c>
      <c r="W93" t="s">
        <v>91</v>
      </c>
      <c r="X93" t="s">
        <v>39</v>
      </c>
    </row>
    <row r="94" spans="1:24" x14ac:dyDescent="0.25">
      <c r="A94" t="s">
        <v>427</v>
      </c>
      <c r="B94" t="s">
        <v>428</v>
      </c>
      <c r="C94" t="s">
        <v>42</v>
      </c>
      <c r="D94" t="s">
        <v>26</v>
      </c>
      <c r="E94" t="s">
        <v>27</v>
      </c>
      <c r="F94" t="s">
        <v>429</v>
      </c>
      <c r="G94" s="1">
        <v>45782</v>
      </c>
      <c r="H94" t="s">
        <v>126</v>
      </c>
      <c r="I94" t="s">
        <v>127</v>
      </c>
      <c r="J94" t="s">
        <v>98</v>
      </c>
      <c r="K94" t="s">
        <v>47</v>
      </c>
      <c r="L94" s="2">
        <v>10</v>
      </c>
      <c r="M94" s="2">
        <v>4328</v>
      </c>
      <c r="N94">
        <v>20</v>
      </c>
      <c r="O94" s="2">
        <v>34624</v>
      </c>
      <c r="P94" s="2">
        <v>21413.87</v>
      </c>
      <c r="Q94" s="2">
        <v>13210.13</v>
      </c>
      <c r="R94" t="s">
        <v>76</v>
      </c>
      <c r="S94" t="s">
        <v>63</v>
      </c>
      <c r="T94" t="s">
        <v>64</v>
      </c>
      <c r="U94" t="s">
        <v>36</v>
      </c>
      <c r="V94" t="s">
        <v>50</v>
      </c>
      <c r="W94" t="s">
        <v>91</v>
      </c>
      <c r="X94" t="s">
        <v>51</v>
      </c>
    </row>
    <row r="95" spans="1:24" x14ac:dyDescent="0.25">
      <c r="A95" t="s">
        <v>430</v>
      </c>
      <c r="B95" t="s">
        <v>431</v>
      </c>
      <c r="C95" t="s">
        <v>25</v>
      </c>
      <c r="D95" t="s">
        <v>26</v>
      </c>
      <c r="E95" t="s">
        <v>27</v>
      </c>
      <c r="F95" t="s">
        <v>432</v>
      </c>
      <c r="G95" s="1">
        <v>45817</v>
      </c>
      <c r="H95" t="s">
        <v>155</v>
      </c>
      <c r="I95" t="s">
        <v>156</v>
      </c>
      <c r="J95" t="s">
        <v>109</v>
      </c>
      <c r="K95" t="s">
        <v>32</v>
      </c>
      <c r="L95" s="2">
        <v>7</v>
      </c>
      <c r="M95" s="2">
        <v>17519</v>
      </c>
      <c r="N95">
        <v>28</v>
      </c>
      <c r="O95" s="2">
        <v>88295.76</v>
      </c>
      <c r="P95" s="2">
        <v>45544.31</v>
      </c>
      <c r="Q95" s="2">
        <v>42751.45</v>
      </c>
      <c r="R95" t="s">
        <v>76</v>
      </c>
      <c r="S95" t="s">
        <v>77</v>
      </c>
      <c r="T95" t="s">
        <v>78</v>
      </c>
      <c r="U95" t="s">
        <v>36</v>
      </c>
      <c r="V95" t="s">
        <v>37</v>
      </c>
      <c r="W95" t="s">
        <v>80</v>
      </c>
      <c r="X95" t="s">
        <v>51</v>
      </c>
    </row>
    <row r="96" spans="1:24" x14ac:dyDescent="0.25">
      <c r="A96" t="s">
        <v>433</v>
      </c>
      <c r="B96" t="s">
        <v>434</v>
      </c>
      <c r="C96" t="s">
        <v>42</v>
      </c>
      <c r="D96" t="s">
        <v>26</v>
      </c>
      <c r="E96" t="s">
        <v>27</v>
      </c>
      <c r="F96" t="s">
        <v>435</v>
      </c>
      <c r="G96" s="1">
        <v>45959</v>
      </c>
      <c r="H96" t="s">
        <v>44</v>
      </c>
      <c r="I96" t="s">
        <v>45</v>
      </c>
      <c r="J96" t="s">
        <v>46</v>
      </c>
      <c r="K96" t="s">
        <v>47</v>
      </c>
      <c r="L96" s="2">
        <v>8</v>
      </c>
      <c r="M96" s="2">
        <v>13214</v>
      </c>
      <c r="N96">
        <v>6</v>
      </c>
      <c r="O96" s="2">
        <v>99369.279999999999</v>
      </c>
      <c r="P96" s="2">
        <v>71885.820000000007</v>
      </c>
      <c r="Q96" s="2">
        <v>27483.46</v>
      </c>
      <c r="R96" t="s">
        <v>76</v>
      </c>
      <c r="S96" t="s">
        <v>89</v>
      </c>
      <c r="T96" t="s">
        <v>90</v>
      </c>
      <c r="U96" t="s">
        <v>36</v>
      </c>
      <c r="V96" t="s">
        <v>50</v>
      </c>
      <c r="W96" t="s">
        <v>91</v>
      </c>
      <c r="X96" t="s">
        <v>39</v>
      </c>
    </row>
    <row r="97" spans="1:24" x14ac:dyDescent="0.25">
      <c r="A97" t="s">
        <v>436</v>
      </c>
      <c r="B97" t="s">
        <v>437</v>
      </c>
      <c r="C97" t="s">
        <v>196</v>
      </c>
      <c r="D97" t="s">
        <v>197</v>
      </c>
      <c r="E97" t="s">
        <v>94</v>
      </c>
      <c r="F97" t="s">
        <v>438</v>
      </c>
      <c r="G97" s="1">
        <v>45878</v>
      </c>
      <c r="H97" t="s">
        <v>172</v>
      </c>
      <c r="I97" t="s">
        <v>173</v>
      </c>
      <c r="J97" t="s">
        <v>109</v>
      </c>
      <c r="K97" t="s">
        <v>120</v>
      </c>
      <c r="L97" s="2">
        <v>6</v>
      </c>
      <c r="M97" s="2">
        <v>33127</v>
      </c>
      <c r="N97">
        <v>0</v>
      </c>
      <c r="O97" s="2">
        <v>198762</v>
      </c>
      <c r="P97" s="2">
        <v>151573.78</v>
      </c>
      <c r="Q97" s="2">
        <v>47188.22</v>
      </c>
      <c r="R97" t="s">
        <v>110</v>
      </c>
      <c r="S97" t="s">
        <v>100</v>
      </c>
      <c r="T97" t="s">
        <v>101</v>
      </c>
      <c r="U97" t="s">
        <v>201</v>
      </c>
      <c r="V97" t="s">
        <v>202</v>
      </c>
      <c r="W97" t="s">
        <v>67</v>
      </c>
      <c r="X97" t="s">
        <v>51</v>
      </c>
    </row>
    <row r="98" spans="1:24" x14ac:dyDescent="0.25">
      <c r="A98" t="s">
        <v>439</v>
      </c>
      <c r="B98" t="s">
        <v>440</v>
      </c>
      <c r="C98" t="s">
        <v>25</v>
      </c>
      <c r="D98" t="s">
        <v>26</v>
      </c>
      <c r="E98" t="s">
        <v>94</v>
      </c>
      <c r="F98" t="s">
        <v>441</v>
      </c>
      <c r="G98" s="1">
        <v>45907</v>
      </c>
      <c r="H98" t="s">
        <v>442</v>
      </c>
      <c r="I98" t="s">
        <v>443</v>
      </c>
      <c r="J98" t="s">
        <v>46</v>
      </c>
      <c r="K98" t="s">
        <v>99</v>
      </c>
      <c r="L98" s="2">
        <v>7</v>
      </c>
      <c r="M98" s="2">
        <v>39457</v>
      </c>
      <c r="N98">
        <v>11</v>
      </c>
      <c r="O98" s="2">
        <v>245817.11</v>
      </c>
      <c r="P98" s="2">
        <v>144330.13</v>
      </c>
      <c r="Q98" s="2">
        <v>101486.98</v>
      </c>
      <c r="R98" t="s">
        <v>110</v>
      </c>
      <c r="S98" t="s">
        <v>111</v>
      </c>
      <c r="T98" t="s">
        <v>112</v>
      </c>
      <c r="U98" t="s">
        <v>36</v>
      </c>
      <c r="V98" t="s">
        <v>37</v>
      </c>
      <c r="W98" t="s">
        <v>38</v>
      </c>
      <c r="X98" t="s">
        <v>51</v>
      </c>
    </row>
    <row r="99" spans="1:24" x14ac:dyDescent="0.25">
      <c r="A99" t="s">
        <v>444</v>
      </c>
      <c r="B99" t="s">
        <v>445</v>
      </c>
      <c r="C99" t="s">
        <v>54</v>
      </c>
      <c r="D99" t="s">
        <v>55</v>
      </c>
      <c r="E99" t="s">
        <v>56</v>
      </c>
      <c r="F99" t="s">
        <v>446</v>
      </c>
      <c r="G99" s="1">
        <v>45907</v>
      </c>
      <c r="H99" t="s">
        <v>133</v>
      </c>
      <c r="I99" t="s">
        <v>134</v>
      </c>
      <c r="J99" t="s">
        <v>60</v>
      </c>
      <c r="K99" t="s">
        <v>135</v>
      </c>
      <c r="L99" s="2">
        <v>15</v>
      </c>
      <c r="M99" s="2">
        <v>25873</v>
      </c>
      <c r="N99">
        <v>14</v>
      </c>
      <c r="O99" s="2">
        <v>333761.7</v>
      </c>
      <c r="P99" s="2">
        <v>187025.23</v>
      </c>
      <c r="Q99" s="2">
        <v>146736.47</v>
      </c>
      <c r="R99" t="s">
        <v>110</v>
      </c>
      <c r="S99" t="s">
        <v>121</v>
      </c>
      <c r="T99" t="s">
        <v>122</v>
      </c>
      <c r="U99" t="s">
        <v>65</v>
      </c>
      <c r="V99" t="s">
        <v>66</v>
      </c>
      <c r="W99" t="s">
        <v>91</v>
      </c>
      <c r="X99" t="s">
        <v>51</v>
      </c>
    </row>
    <row r="100" spans="1:24" x14ac:dyDescent="0.25">
      <c r="A100" t="s">
        <v>447</v>
      </c>
      <c r="B100" t="s">
        <v>448</v>
      </c>
      <c r="C100" t="s">
        <v>104</v>
      </c>
      <c r="D100" t="s">
        <v>105</v>
      </c>
      <c r="E100" t="s">
        <v>94</v>
      </c>
      <c r="F100" t="s">
        <v>449</v>
      </c>
      <c r="G100" s="1">
        <v>45817</v>
      </c>
      <c r="H100" t="s">
        <v>133</v>
      </c>
      <c r="I100" t="s">
        <v>134</v>
      </c>
      <c r="J100" t="s">
        <v>60</v>
      </c>
      <c r="K100" t="s">
        <v>135</v>
      </c>
      <c r="L100" s="2">
        <v>10</v>
      </c>
      <c r="M100" s="2">
        <v>19991</v>
      </c>
      <c r="N100">
        <v>11</v>
      </c>
      <c r="O100" s="2">
        <v>177919.9</v>
      </c>
      <c r="P100" s="2">
        <v>112808.25</v>
      </c>
      <c r="Q100" s="2">
        <v>65111.65</v>
      </c>
      <c r="R100" t="s">
        <v>62</v>
      </c>
      <c r="S100" t="s">
        <v>128</v>
      </c>
      <c r="T100" t="s">
        <v>129</v>
      </c>
      <c r="U100" t="s">
        <v>113</v>
      </c>
      <c r="V100" t="s">
        <v>114</v>
      </c>
      <c r="W100" t="s">
        <v>38</v>
      </c>
      <c r="X100" t="s">
        <v>39</v>
      </c>
    </row>
    <row r="101" spans="1:24" x14ac:dyDescent="0.25">
      <c r="A101" t="s">
        <v>450</v>
      </c>
      <c r="B101" t="s">
        <v>451</v>
      </c>
      <c r="C101" t="s">
        <v>196</v>
      </c>
      <c r="D101" t="s">
        <v>197</v>
      </c>
      <c r="E101" t="s">
        <v>94</v>
      </c>
      <c r="F101" t="s">
        <v>452</v>
      </c>
      <c r="G101" s="1">
        <v>46092</v>
      </c>
      <c r="H101" t="s">
        <v>209</v>
      </c>
      <c r="I101" t="s">
        <v>210</v>
      </c>
      <c r="J101" t="s">
        <v>31</v>
      </c>
      <c r="K101" t="s">
        <v>61</v>
      </c>
      <c r="L101" s="2">
        <v>15</v>
      </c>
      <c r="M101" s="2">
        <v>44978</v>
      </c>
      <c r="N101">
        <v>7</v>
      </c>
      <c r="O101" s="2">
        <v>627443.1</v>
      </c>
      <c r="P101" s="2">
        <v>467828.24</v>
      </c>
      <c r="Q101" s="2">
        <v>159614.85999999999</v>
      </c>
      <c r="R101" t="s">
        <v>110</v>
      </c>
      <c r="S101" t="s">
        <v>136</v>
      </c>
      <c r="T101" t="s">
        <v>137</v>
      </c>
      <c r="U101" t="s">
        <v>201</v>
      </c>
      <c r="V101" t="s">
        <v>202</v>
      </c>
      <c r="W101" t="s">
        <v>91</v>
      </c>
      <c r="X101" t="s">
        <v>39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E31E6-0C58-494C-89CC-9363CD31FCD1}">
  <dimension ref="A2:D50"/>
  <sheetViews>
    <sheetView tabSelected="1" workbookViewId="0">
      <selection activeCell="L17" sqref="L17"/>
    </sheetView>
  </sheetViews>
  <sheetFormatPr defaultRowHeight="15" x14ac:dyDescent="0.25"/>
  <cols>
    <col min="1" max="1" width="13.140625" bestFit="1" customWidth="1"/>
    <col min="2" max="2" width="12.5703125" bestFit="1" customWidth="1"/>
    <col min="3" max="4" width="20.5703125" bestFit="1" customWidth="1"/>
  </cols>
  <sheetData>
    <row r="2" spans="1:2" x14ac:dyDescent="0.25">
      <c r="A2" s="4" t="s">
        <v>9</v>
      </c>
      <c r="B2" t="s" vm="1">
        <v>455</v>
      </c>
    </row>
    <row r="4" spans="1:2" x14ac:dyDescent="0.25">
      <c r="A4" s="4" t="s">
        <v>456</v>
      </c>
      <c r="B4" t="s">
        <v>454</v>
      </c>
    </row>
    <row r="5" spans="1:2" x14ac:dyDescent="0.25">
      <c r="A5" s="5" t="s">
        <v>149</v>
      </c>
      <c r="B5" s="3">
        <v>889534.02</v>
      </c>
    </row>
    <row r="6" spans="1:2" x14ac:dyDescent="0.25">
      <c r="A6" s="5" t="s">
        <v>71</v>
      </c>
      <c r="B6" s="3">
        <v>1922816.47</v>
      </c>
    </row>
    <row r="7" spans="1:2" x14ac:dyDescent="0.25">
      <c r="A7" s="5" t="s">
        <v>105</v>
      </c>
      <c r="B7" s="3">
        <v>2401548.7799999998</v>
      </c>
    </row>
    <row r="8" spans="1:2" x14ac:dyDescent="0.25">
      <c r="A8" s="5" t="s">
        <v>26</v>
      </c>
      <c r="B8" s="3">
        <v>6880472.7999999998</v>
      </c>
    </row>
    <row r="9" spans="1:2" x14ac:dyDescent="0.25">
      <c r="A9" s="5" t="s">
        <v>55</v>
      </c>
      <c r="B9" s="3">
        <v>1257147.24</v>
      </c>
    </row>
    <row r="10" spans="1:2" x14ac:dyDescent="0.25">
      <c r="A10" s="5" t="s">
        <v>166</v>
      </c>
      <c r="B10" s="3">
        <v>3481343.01</v>
      </c>
    </row>
    <row r="11" spans="1:2" x14ac:dyDescent="0.25">
      <c r="A11" s="5" t="s">
        <v>160</v>
      </c>
      <c r="B11" s="3">
        <v>912454.38</v>
      </c>
    </row>
    <row r="12" spans="1:2" x14ac:dyDescent="0.25">
      <c r="A12" s="5" t="s">
        <v>188</v>
      </c>
      <c r="B12" s="3">
        <v>1764708.66</v>
      </c>
    </row>
    <row r="13" spans="1:2" x14ac:dyDescent="0.25">
      <c r="A13" s="5" t="s">
        <v>197</v>
      </c>
      <c r="B13" s="3">
        <v>3472473.5</v>
      </c>
    </row>
    <row r="14" spans="1:2" x14ac:dyDescent="0.25">
      <c r="A14" s="5" t="s">
        <v>457</v>
      </c>
      <c r="B14" s="3">
        <v>22982498.859999999</v>
      </c>
    </row>
    <row r="17" spans="1:3" x14ac:dyDescent="0.25">
      <c r="A17" s="4" t="s">
        <v>456</v>
      </c>
      <c r="B17" t="s">
        <v>458</v>
      </c>
      <c r="C17" t="s">
        <v>454</v>
      </c>
    </row>
    <row r="18" spans="1:3" x14ac:dyDescent="0.25">
      <c r="A18" s="5" t="s">
        <v>149</v>
      </c>
      <c r="B18" s="3">
        <v>330944.3</v>
      </c>
      <c r="C18" s="3">
        <v>889534.02</v>
      </c>
    </row>
    <row r="19" spans="1:3" x14ac:dyDescent="0.25">
      <c r="A19" s="5" t="s">
        <v>71</v>
      </c>
      <c r="B19" s="3">
        <v>581223.31999999995</v>
      </c>
      <c r="C19" s="3">
        <v>1922816.47</v>
      </c>
    </row>
    <row r="20" spans="1:3" x14ac:dyDescent="0.25">
      <c r="A20" s="5" t="s">
        <v>105</v>
      </c>
      <c r="B20" s="3">
        <v>658495.80000000005</v>
      </c>
      <c r="C20" s="3">
        <v>2401548.7799999998</v>
      </c>
    </row>
    <row r="21" spans="1:3" x14ac:dyDescent="0.25">
      <c r="A21" s="5" t="s">
        <v>26</v>
      </c>
      <c r="B21" s="3">
        <v>2251173.92</v>
      </c>
      <c r="C21" s="3">
        <v>6880472.7999999998</v>
      </c>
    </row>
    <row r="22" spans="1:3" x14ac:dyDescent="0.25">
      <c r="A22" s="5" t="s">
        <v>55</v>
      </c>
      <c r="B22" s="3">
        <v>490294.26</v>
      </c>
      <c r="C22" s="3">
        <v>1257147.24</v>
      </c>
    </row>
    <row r="23" spans="1:3" x14ac:dyDescent="0.25">
      <c r="A23" s="5" t="s">
        <v>166</v>
      </c>
      <c r="B23" s="3">
        <v>1353080.69</v>
      </c>
      <c r="C23" s="3">
        <v>3481343.01</v>
      </c>
    </row>
    <row r="24" spans="1:3" x14ac:dyDescent="0.25">
      <c r="A24" s="5" t="s">
        <v>160</v>
      </c>
      <c r="B24" s="3">
        <v>310293.7</v>
      </c>
      <c r="C24" s="3">
        <v>912454.38</v>
      </c>
    </row>
    <row r="25" spans="1:3" x14ac:dyDescent="0.25">
      <c r="A25" s="5" t="s">
        <v>188</v>
      </c>
      <c r="B25" s="3">
        <v>791645.4</v>
      </c>
      <c r="C25" s="3">
        <v>1764708.66</v>
      </c>
    </row>
    <row r="26" spans="1:3" x14ac:dyDescent="0.25">
      <c r="A26" s="5" t="s">
        <v>197</v>
      </c>
      <c r="B26" s="3">
        <v>1012222.71</v>
      </c>
      <c r="C26" s="3">
        <v>3472473.5</v>
      </c>
    </row>
    <row r="27" spans="1:3" x14ac:dyDescent="0.25">
      <c r="A27" s="5" t="s">
        <v>457</v>
      </c>
      <c r="B27" s="3">
        <v>7779374.0999999996</v>
      </c>
      <c r="C27" s="3">
        <v>22982498.859999999</v>
      </c>
    </row>
    <row r="30" spans="1:3" x14ac:dyDescent="0.25">
      <c r="A30" s="4" t="s">
        <v>456</v>
      </c>
      <c r="B30" t="s">
        <v>458</v>
      </c>
      <c r="C30" t="s">
        <v>454</v>
      </c>
    </row>
    <row r="31" spans="1:3" x14ac:dyDescent="0.25">
      <c r="A31" s="5" t="s">
        <v>56</v>
      </c>
      <c r="B31" s="3">
        <v>3173635.24</v>
      </c>
      <c r="C31" s="3">
        <v>8962570.9000000004</v>
      </c>
    </row>
    <row r="32" spans="1:3" x14ac:dyDescent="0.25">
      <c r="A32" s="5" t="s">
        <v>94</v>
      </c>
      <c r="B32" s="3">
        <v>2118280.87</v>
      </c>
      <c r="C32" s="3">
        <v>6424555.2000000002</v>
      </c>
    </row>
    <row r="33" spans="1:4" x14ac:dyDescent="0.25">
      <c r="A33" s="5" t="s">
        <v>27</v>
      </c>
      <c r="B33" s="3">
        <v>2487457.9900000002</v>
      </c>
      <c r="C33" s="3">
        <v>7595372.7599999998</v>
      </c>
    </row>
    <row r="34" spans="1:4" x14ac:dyDescent="0.25">
      <c r="A34" s="5" t="s">
        <v>457</v>
      </c>
      <c r="B34" s="3">
        <v>7779374.0999999996</v>
      </c>
      <c r="C34" s="3">
        <v>22982498.859999999</v>
      </c>
    </row>
    <row r="43" spans="1:4" x14ac:dyDescent="0.25">
      <c r="A43" s="4" t="s">
        <v>456</v>
      </c>
      <c r="B43" t="s">
        <v>459</v>
      </c>
      <c r="C43" t="s">
        <v>460</v>
      </c>
      <c r="D43" t="s">
        <v>454</v>
      </c>
    </row>
    <row r="44" spans="1:4" x14ac:dyDescent="0.25">
      <c r="A44" s="5" t="s">
        <v>109</v>
      </c>
      <c r="B44" s="3">
        <v>194</v>
      </c>
      <c r="C44" s="3">
        <v>284</v>
      </c>
      <c r="D44" s="3">
        <v>3332849.42</v>
      </c>
    </row>
    <row r="45" spans="1:4" x14ac:dyDescent="0.25">
      <c r="A45" s="5" t="s">
        <v>46</v>
      </c>
      <c r="B45" s="3">
        <v>144</v>
      </c>
      <c r="C45" s="3">
        <v>228</v>
      </c>
      <c r="D45" s="3">
        <v>3075423.27</v>
      </c>
    </row>
    <row r="46" spans="1:4" x14ac:dyDescent="0.25">
      <c r="A46" s="5" t="s">
        <v>60</v>
      </c>
      <c r="B46" s="3">
        <v>210</v>
      </c>
      <c r="C46" s="3">
        <v>325</v>
      </c>
      <c r="D46" s="3">
        <v>4047721.18</v>
      </c>
    </row>
    <row r="47" spans="1:4" x14ac:dyDescent="0.25">
      <c r="A47" s="5" t="s">
        <v>86</v>
      </c>
      <c r="B47" s="3">
        <v>122</v>
      </c>
      <c r="C47" s="3">
        <v>133</v>
      </c>
      <c r="D47" s="3">
        <v>3574555.13</v>
      </c>
    </row>
    <row r="48" spans="1:4" x14ac:dyDescent="0.25">
      <c r="A48" s="5" t="s">
        <v>31</v>
      </c>
      <c r="B48" s="3">
        <v>171</v>
      </c>
      <c r="C48" s="3">
        <v>176</v>
      </c>
      <c r="D48" s="3">
        <v>4481822.5599999996</v>
      </c>
    </row>
    <row r="49" spans="1:4" x14ac:dyDescent="0.25">
      <c r="A49" s="5" t="s">
        <v>98</v>
      </c>
      <c r="B49" s="3">
        <v>222</v>
      </c>
      <c r="C49" s="3">
        <v>371</v>
      </c>
      <c r="D49" s="3">
        <v>4470127.3</v>
      </c>
    </row>
    <row r="50" spans="1:4" x14ac:dyDescent="0.25">
      <c r="A50" s="5" t="s">
        <v>457</v>
      </c>
      <c r="B50" s="3">
        <v>1063</v>
      </c>
      <c r="C50" s="3">
        <v>1517</v>
      </c>
      <c r="D50" s="3">
        <v>22982498.859999999</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2026-07-10T03:41:37Z</dcterms:created>
  <dcterms:modified xsi:type="dcterms:W3CDTF">2026-07-22T04:57:12Z</dcterms:modified>
</cp:coreProperties>
</file>